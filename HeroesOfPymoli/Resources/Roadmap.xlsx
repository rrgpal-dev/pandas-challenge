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N457149/Documents/GitHub/pandas-challenge/HeroesOfPymoli/Resources/"/>
    </mc:Choice>
  </mc:AlternateContent>
  <xr:revisionPtr revIDLastSave="0" documentId="8_{CB736C85-2A9D-3446-B81F-FBFB01DDF981}" xr6:coauthVersionLast="44" xr6:coauthVersionMax="44" xr10:uidLastSave="{00000000-0000-0000-0000-000000000000}"/>
  <bookViews>
    <workbookView xWindow="-38400" yWindow="2240" windowWidth="38400" windowHeight="21140" activeTab="4" xr2:uid="{00000000-000D-0000-FFFF-FFFF00000000}"/>
  </bookViews>
  <sheets>
    <sheet name="Deployment Planning" sheetId="11" r:id="rId1"/>
    <sheet name="DATES For PLANNING" sheetId="15" r:id="rId2"/>
    <sheet name="Remaining Interfaces" sheetId="14" r:id="rId3"/>
    <sheet name="Assumptions" sheetId="13" r:id="rId4"/>
    <sheet name="AHM Roadmap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2" i="11" l="1"/>
  <c r="F41" i="11"/>
  <c r="G41" i="11" s="1"/>
  <c r="F24" i="11"/>
  <c r="F22" i="11"/>
  <c r="G22" i="11" s="1"/>
  <c r="F17" i="11"/>
  <c r="G17" i="11" s="1"/>
  <c r="F16" i="11"/>
  <c r="G16" i="11" s="1"/>
  <c r="F38" i="11"/>
  <c r="G38" i="11" s="1"/>
  <c r="F2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Meers, Sherry L</author>
  </authors>
  <commentList>
    <comment ref="A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Meers, Sherry L:</t>
        </r>
        <r>
          <rPr>
            <sz val="9"/>
            <color indexed="81"/>
            <rFont val="Tahoma"/>
            <family val="2"/>
          </rPr>
          <t xml:space="preserve">
Jeffry Bye owns app</t>
        </r>
      </text>
    </comment>
    <comment ref="A4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Meers, Sherry L:</t>
        </r>
        <r>
          <rPr>
            <sz val="9"/>
            <color indexed="81"/>
            <rFont val="Tahoma"/>
            <family val="2"/>
          </rPr>
          <t xml:space="preserve">
Unknown if Back-end intergrations
</t>
        </r>
      </text>
    </comment>
  </commentList>
</comments>
</file>

<file path=xl/sharedStrings.xml><?xml version="1.0" encoding="utf-8"?>
<sst xmlns="http://schemas.openxmlformats.org/spreadsheetml/2006/main" count="337" uniqueCount="226">
  <si>
    <t>E2E</t>
  </si>
  <si>
    <t>11/30-12/4</t>
  </si>
  <si>
    <t>11/16-11/20</t>
  </si>
  <si>
    <t>11/9-11/13</t>
  </si>
  <si>
    <t>11/2-11/6</t>
  </si>
  <si>
    <t>10/26-10/30</t>
  </si>
  <si>
    <t>10/19-10/23</t>
  </si>
  <si>
    <t>10/12-10/16</t>
  </si>
  <si>
    <t>10/5-10-9</t>
  </si>
  <si>
    <t>9/28-10/1</t>
  </si>
  <si>
    <t>9/21-9/25</t>
  </si>
  <si>
    <t>9/14-9/18</t>
  </si>
  <si>
    <t>9/7-9/11</t>
  </si>
  <si>
    <t>8/31-9/4</t>
  </si>
  <si>
    <t>8/24-8/27</t>
  </si>
  <si>
    <t>12/7-12/11</t>
  </si>
  <si>
    <t>12/21-12/25</t>
  </si>
  <si>
    <t>12/28-1/1</t>
  </si>
  <si>
    <t>UAT</t>
  </si>
  <si>
    <t xml:space="preserve">Cadence </t>
  </si>
  <si>
    <t>QA</t>
  </si>
  <si>
    <r>
      <t>12/14-</t>
    </r>
    <r>
      <rPr>
        <b/>
        <sz val="11"/>
        <color theme="1"/>
        <rFont val="Calibri"/>
        <family val="2"/>
        <scheme val="minor"/>
      </rPr>
      <t>12/19</t>
    </r>
  </si>
  <si>
    <t>11/23- 
11-27</t>
  </si>
  <si>
    <t xml:space="preserve">Design </t>
  </si>
  <si>
    <t>Design</t>
  </si>
  <si>
    <t>1/4-1/8</t>
  </si>
  <si>
    <t>1/11-1/15</t>
  </si>
  <si>
    <t>1/18-1/22</t>
  </si>
  <si>
    <t>1/25-1/29</t>
  </si>
  <si>
    <t>2/1-2/5</t>
  </si>
  <si>
    <t>2/8-2/12</t>
  </si>
  <si>
    <t>2/15-2/19</t>
  </si>
  <si>
    <t>2/22-2/26</t>
  </si>
  <si>
    <t>3/1-3/5</t>
  </si>
  <si>
    <t>3/8-3/12</t>
  </si>
  <si>
    <t>3/15-3/19</t>
  </si>
  <si>
    <t>3/22-3/26</t>
  </si>
  <si>
    <t>3/29-4/2</t>
  </si>
  <si>
    <t>4/5-4/9</t>
  </si>
  <si>
    <t>4/12-4/16</t>
  </si>
  <si>
    <t>4/19-4/23</t>
  </si>
  <si>
    <t>4/26-4/30</t>
  </si>
  <si>
    <t>5/3-5/7</t>
  </si>
  <si>
    <t>5-10-5/14</t>
  </si>
  <si>
    <t>5/17-5/21</t>
  </si>
  <si>
    <t>5/31-6/4</t>
  </si>
  <si>
    <t>5/24-5/28</t>
  </si>
  <si>
    <t>6/7-6/11</t>
  </si>
  <si>
    <t>6/14-6/18</t>
  </si>
  <si>
    <t>6/21-6/25</t>
  </si>
  <si>
    <t>6/28-7/2</t>
  </si>
  <si>
    <t>Diabetes</t>
  </si>
  <si>
    <t>Full Book</t>
  </si>
  <si>
    <t xml:space="preserve">SFMC for CKD </t>
  </si>
  <si>
    <t>New scope</t>
  </si>
  <si>
    <t xml:space="preserve">Deploy </t>
  </si>
  <si>
    <t>Deploy</t>
  </si>
  <si>
    <t xml:space="preserve">Privacy API (EPIC B/E, UI, ESL, IPP) </t>
  </si>
  <si>
    <t>TESTING Starts</t>
  </si>
  <si>
    <t>TESTING  STARTS</t>
  </si>
  <si>
    <t>Requirements</t>
  </si>
  <si>
    <t>Development</t>
  </si>
  <si>
    <t>Care Everywhere (kidney and Diabetes</t>
  </si>
  <si>
    <t xml:space="preserve">Auto Status </t>
  </si>
  <si>
    <t xml:space="preserve">Care Plans </t>
  </si>
  <si>
    <t xml:space="preserve">Lexis/Compact Nurse </t>
  </si>
  <si>
    <t xml:space="preserve">Requirements </t>
  </si>
  <si>
    <t>Migration</t>
  </si>
  <si>
    <t>CM</t>
  </si>
  <si>
    <t>Maternity</t>
  </si>
  <si>
    <t>Serious Illness</t>
  </si>
  <si>
    <t>Dev</t>
  </si>
  <si>
    <t xml:space="preserve">UAT </t>
  </si>
  <si>
    <t>UAT/Train</t>
  </si>
  <si>
    <t>train</t>
  </si>
  <si>
    <t>DEPLOYMENT 2</t>
  </si>
  <si>
    <t>DEPLOYMENT 3</t>
  </si>
  <si>
    <t>DEPLOYMENT 4</t>
  </si>
  <si>
    <t xml:space="preserve">Full Book </t>
  </si>
  <si>
    <t>DEV</t>
  </si>
  <si>
    <t/>
  </si>
  <si>
    <t>Healthy Planet??</t>
  </si>
  <si>
    <t>12/19:</t>
  </si>
  <si>
    <t>Confirmed:</t>
  </si>
  <si>
    <t xml:space="preserve">ngTDC </t>
  </si>
  <si>
    <t xml:space="preserve">Cadence – individual scheduling </t>
  </si>
  <si>
    <t xml:space="preserve">Global ID </t>
  </si>
  <si>
    <t xml:space="preserve">5 ngTDC Assessments </t>
  </si>
  <si>
    <t>Operational reporting</t>
  </si>
  <si>
    <t>In parallel:</t>
  </si>
  <si>
    <t>Kidney Privacy API</t>
  </si>
  <si>
    <t>Kidney ADT feed</t>
  </si>
  <si>
    <t>SFMC – eliminate manual workaround (kidney letters w/collateral and retain ability for nurse to update letters)</t>
  </si>
  <si>
    <t>1/1 and beyond:</t>
  </si>
  <si>
    <t>January/February</t>
  </si>
  <si>
    <t>Care Everywhere – kidney &amp; diabetes</t>
  </si>
  <si>
    <t>MyChart w/Video visits - kidney</t>
  </si>
  <si>
    <t>Auto status updates (Epic enhancement) – need to confirm date (any program)</t>
  </si>
  <si>
    <t>Other Q1/Date TBD:</t>
  </si>
  <si>
    <t>Kidney integration with CPL/CEE</t>
  </si>
  <si>
    <t>PDM integration</t>
  </si>
  <si>
    <t>Remaining programs:  CM, Maternity, Serious Illness, Lifestyle Condition Coaching - TBD</t>
  </si>
  <si>
    <t>Remaining assessments</t>
  </si>
  <si>
    <t>MEP integration</t>
  </si>
  <si>
    <t>Cadence Group scheduling (Individual being delivered for 12/19)</t>
  </si>
  <si>
    <t>Full SFMC functionality</t>
  </si>
  <si>
    <t>Remaining interfaces</t>
  </si>
  <si>
    <t>Healthy Planet</t>
  </si>
  <si>
    <t>Post 4/1:</t>
  </si>
  <si>
    <t>CPL/CEE – ongoing as additional programs transition</t>
  </si>
  <si>
    <t>Clinical 360 – when available</t>
  </si>
  <si>
    <t>Business Enhancements:</t>
  </si>
  <si>
    <t>Kidney Care PID changes and other program enhancements</t>
  </si>
  <si>
    <t>ngTDC care gaps and other program enhancements</t>
  </si>
  <si>
    <t>New clients</t>
  </si>
  <si>
    <t>Separate PRF:</t>
  </si>
  <si>
    <t>UM/Tapestry – separate PRF</t>
  </si>
  <si>
    <t>IPP integration</t>
  </si>
  <si>
    <t xml:space="preserve">DMS </t>
  </si>
  <si>
    <t>DESIGN</t>
  </si>
  <si>
    <t>BUILD (WORKFLOWS/UI/INTEGRATIONS-EPIC/IPP) Regression EPH Only</t>
  </si>
  <si>
    <t>Dependant on upgrade EPIC</t>
  </si>
  <si>
    <t>HP Link for AAView</t>
  </si>
  <si>
    <t>TBD</t>
  </si>
  <si>
    <t>Lexis Nexis</t>
  </si>
  <si>
    <t>Find out more on timelines</t>
  </si>
  <si>
    <t>Need more information</t>
  </si>
  <si>
    <t>no mass enrollment currently</t>
  </si>
  <si>
    <t>Alignment with vendor</t>
  </si>
  <si>
    <t>includes front end &amp; migration</t>
  </si>
  <si>
    <t>Dev Hours</t>
  </si>
  <si>
    <t>2(dev)</t>
  </si>
  <si>
    <t>(4 Dev)</t>
  </si>
  <si>
    <t>/E2E UAT/Train</t>
  </si>
  <si>
    <t>Train</t>
  </si>
  <si>
    <t>Total Dev Weeks</t>
  </si>
  <si>
    <t>Weeks with multiple developers</t>
  </si>
  <si>
    <t># developers</t>
  </si>
  <si>
    <t>DEPLOYMENT 1</t>
  </si>
  <si>
    <t xml:space="preserve">FULL BOOK DEPLOYMENT PLAN </t>
  </si>
  <si>
    <t>rationalization #1 &amp; #2 Priority</t>
  </si>
  <si>
    <t xml:space="preserve">Dev (assuming 4 weeks 2 developers) </t>
  </si>
  <si>
    <t>To support a March month-end release requirements need to be approved by 10/30</t>
  </si>
  <si>
    <t>Rationalization</t>
  </si>
  <si>
    <t>MEP integration (#8 &amp; #10)</t>
  </si>
  <si>
    <t>Dev (Assume11 weeks 4 developers)</t>
  </si>
  <si>
    <t>Full SFMC Functionality (#7&amp; #20b)</t>
  </si>
  <si>
    <t>(3 Dev)</t>
  </si>
  <si>
    <t>Dev (Assume 10 weeks 3 developers)</t>
  </si>
  <si>
    <t xml:space="preserve">Volume </t>
  </si>
  <si>
    <t>Assume 700 hours used for 1:1</t>
  </si>
  <si>
    <t>Ongoing Requirements/configure/QA</t>
  </si>
  <si>
    <t>Care plans will be provided once Heather has the list</t>
  </si>
  <si>
    <t>Lifestyle Coaching</t>
  </si>
  <si>
    <t xml:space="preserve">Requirements can continue </t>
  </si>
  <si>
    <t>Team deploys independently (could move up)</t>
  </si>
  <si>
    <t>Assessments/</t>
  </si>
  <si>
    <t>Datamart Reporting (#22)</t>
  </si>
  <si>
    <t>Cadence Group Scheduling (#31)</t>
  </si>
  <si>
    <r>
      <rPr>
        <u/>
        <sz val="11"/>
        <color theme="1"/>
        <rFont val="Calibri"/>
        <family val="2"/>
        <scheme val="minor"/>
      </rPr>
      <t>Need level of effort and coordination with other teams to commit to deployment dat</t>
    </r>
    <r>
      <rPr>
        <sz val="11"/>
        <color theme="1"/>
        <rFont val="Calibri"/>
        <family val="2"/>
        <scheme val="minor"/>
      </rPr>
      <t>e- Year end Freeze</t>
    </r>
  </si>
  <si>
    <t>Diabetes deploy</t>
  </si>
  <si>
    <t>Volume (some of the hours have been used)</t>
  </si>
  <si>
    <t>ingest ADT (possibly tied to Care everywhere)</t>
  </si>
  <si>
    <t>Lexis</t>
  </si>
  <si>
    <t>EPIC</t>
  </si>
  <si>
    <t>Qa</t>
  </si>
  <si>
    <t>Other Integrations/interfaces</t>
  </si>
  <si>
    <t>Cadence Group Coaching</t>
  </si>
  <si>
    <t>Waiting on Tracey(intergration Requirements TBD)</t>
  </si>
  <si>
    <t>24 hour nurse line</t>
  </si>
  <si>
    <t>Home Heart Care</t>
  </si>
  <si>
    <t>Intensive Weight Management</t>
  </si>
  <si>
    <t>Patient DecisionSupport</t>
  </si>
  <si>
    <t>Rationalization MEP &amp; MyChar &amp; Cadence  dependencies</t>
  </si>
  <si>
    <t>My Chart w/(#9)</t>
  </si>
  <si>
    <t xml:space="preserve">QA can only start here -post Warranty </t>
  </si>
  <si>
    <t xml:space="preserve">Things to consider:   EPIC Upgrade </t>
  </si>
  <si>
    <t xml:space="preserve">QA for next deployment cannot start until Warranty is complete from prior deploymnet </t>
  </si>
  <si>
    <t>EPIC Shared with Digital high level deployment date plan</t>
  </si>
  <si>
    <t>Share roadmap with larger project team</t>
  </si>
  <si>
    <t xml:space="preserve">Leadership for review </t>
  </si>
  <si>
    <t xml:space="preserve">Integrate with PI Planning </t>
  </si>
  <si>
    <t xml:space="preserve">These are remaining interfaces not associated with the functionality (MEP, MyChart, Cadence, Auto Status, Lexis, CareEverywhere, healthy planet) </t>
  </si>
  <si>
    <t>Raj(Digtial) Integrate EPIC/DIGITAL roadmap- send to Sherry</t>
  </si>
  <si>
    <t>Rjaj&amp; Sherry -Review Integration Map with Kim and confrim rationalization on priorities</t>
  </si>
  <si>
    <r>
      <t>Client &amp; Program Onboarding/Set-Up  (F33841/37258)</t>
    </r>
    <r>
      <rPr>
        <sz val="12"/>
        <color rgb="FF000000"/>
        <rFont val="Arial"/>
        <family val="2"/>
      </rPr>
      <t>​</t>
    </r>
  </si>
  <si>
    <r>
      <t>Send Account, Plan, and Program Extract to Epic </t>
    </r>
    <r>
      <rPr>
        <b/>
        <sz val="12"/>
        <color rgb="FFFF0000"/>
        <rFont val="Arial"/>
        <family val="2"/>
      </rPr>
      <t>Shilpa/Rohith</t>
    </r>
    <r>
      <rPr>
        <sz val="12"/>
        <color rgb="FF000000"/>
        <rFont val="Arial"/>
        <family val="2"/>
      </rPr>
      <t>​</t>
    </r>
  </si>
  <si>
    <r>
      <t>Epic Q&amp;A Pair SetUp &amp; Configuration  </t>
    </r>
    <r>
      <rPr>
        <b/>
        <sz val="12"/>
        <color rgb="FFFF0000"/>
        <rFont val="Arial"/>
        <family val="2"/>
      </rPr>
      <t>Swati</t>
    </r>
    <r>
      <rPr>
        <sz val="12"/>
        <color rgb="FF000000"/>
        <rFont val="Arial"/>
        <family val="2"/>
      </rPr>
      <t>​</t>
    </r>
  </si>
  <si>
    <t>​</t>
  </si>
  <si>
    <r>
      <t>Patient Eligibility/Set-Up </t>
    </r>
    <r>
      <rPr>
        <b/>
        <sz val="12"/>
        <color rgb="FFFF0000"/>
        <rFont val="Arial"/>
        <family val="2"/>
      </rPr>
      <t>Shilpa/Rohith (F33842, F35121</t>
    </r>
    <r>
      <rPr>
        <sz val="12"/>
        <color rgb="FF000000"/>
        <rFont val="Arial"/>
        <family val="2"/>
      </rPr>
      <t>​</t>
    </r>
  </si>
  <si>
    <t>Real Time Eligibility for Patient Set-Up​</t>
  </si>
  <si>
    <t>Enabler: Eligibility Member Updates (Termination/Merge)​</t>
  </si>
  <si>
    <t>Enabler: Member-Plan association​</t>
  </si>
  <si>
    <r>
      <t>Communications </t>
    </r>
    <r>
      <rPr>
        <b/>
        <sz val="12"/>
        <color rgb="FFFF0000"/>
        <rFont val="Arial"/>
        <family val="2"/>
      </rPr>
      <t>Tamesha/Dupesh</t>
    </r>
    <r>
      <rPr>
        <sz val="12"/>
        <color rgb="FF000000"/>
        <rFont val="Arial"/>
        <family val="2"/>
      </rPr>
      <t>​</t>
    </r>
  </si>
  <si>
    <t>CKD post engagement letters via SFMC​</t>
  </si>
  <si>
    <r>
      <t>Care Manager Updates</t>
    </r>
    <r>
      <rPr>
        <sz val="12"/>
        <color rgb="FF000000"/>
        <rFont val="Arial"/>
        <family val="2"/>
      </rPr>
      <t> (CM Platform Updates to Downstream) </t>
    </r>
    <r>
      <rPr>
        <b/>
        <sz val="12"/>
        <color rgb="FFFF0000"/>
        <rFont val="Arial"/>
        <family val="2"/>
      </rPr>
      <t>Shilpa/Rohith/Swati</t>
    </r>
    <r>
      <rPr>
        <sz val="12"/>
        <color rgb="FF000000"/>
        <rFont val="Arial"/>
        <family val="2"/>
      </rPr>
      <t>​</t>
    </r>
  </si>
  <si>
    <t>Source Name as Epic​</t>
  </si>
  <si>
    <t>CMDB API​</t>
  </si>
  <si>
    <r>
      <t>Member Engagement &amp; Interventions </t>
    </r>
    <r>
      <rPr>
        <sz val="12"/>
        <color rgb="FF000000"/>
        <rFont val="Arial"/>
        <family val="2"/>
      </rPr>
      <t>(LCC and other AHM-only programs) ​</t>
    </r>
  </si>
  <si>
    <r>
      <t>Enabler: Epic-MEP SSO </t>
    </r>
    <r>
      <rPr>
        <b/>
        <sz val="12"/>
        <color rgb="FFFF0000"/>
        <rFont val="Arial"/>
        <family val="2"/>
      </rPr>
      <t>Sachin/Vinay</t>
    </r>
    <r>
      <rPr>
        <sz val="12"/>
        <color rgb="FF000000"/>
        <rFont val="Arial"/>
        <family val="2"/>
      </rPr>
      <t>/</t>
    </r>
    <r>
      <rPr>
        <b/>
        <sz val="12"/>
        <color rgb="FFFF0000"/>
        <rFont val="Arial"/>
        <family val="2"/>
      </rPr>
      <t>AHM</t>
    </r>
    <r>
      <rPr>
        <sz val="12"/>
        <color rgb="FF000000"/>
        <rFont val="Arial"/>
        <family val="2"/>
      </rPr>
      <t>​</t>
    </r>
  </si>
  <si>
    <r>
      <t>Enabler: MEP-MyChart SSO </t>
    </r>
    <r>
      <rPr>
        <b/>
        <sz val="12"/>
        <color rgb="FFFF0000"/>
        <rFont val="Arial"/>
        <family val="2"/>
      </rPr>
      <t>Sachin/Vinay</t>
    </r>
    <r>
      <rPr>
        <sz val="12"/>
        <color rgb="FF000000"/>
        <rFont val="Arial"/>
        <family val="2"/>
      </rPr>
      <t>/</t>
    </r>
    <r>
      <rPr>
        <b/>
        <sz val="12"/>
        <color rgb="FFFF0000"/>
        <rFont val="Arial"/>
        <family val="2"/>
      </rPr>
      <t>AHM</t>
    </r>
    <r>
      <rPr>
        <sz val="12"/>
        <color rgb="FF000000"/>
        <rFont val="Arial"/>
        <family val="2"/>
      </rPr>
      <t>​</t>
    </r>
  </si>
  <si>
    <r>
      <t>Enabler: MEP Integration</t>
    </r>
    <r>
      <rPr>
        <sz val="12"/>
        <color rgb="FF000000"/>
        <rFont val="Arial"/>
        <family val="2"/>
      </rPr>
      <t>​</t>
    </r>
  </si>
  <si>
    <r>
      <t>Live Coaching</t>
    </r>
    <r>
      <rPr>
        <sz val="12"/>
        <color rgb="FF000000"/>
        <rFont val="Arial"/>
        <family val="2"/>
      </rPr>
      <t> ​</t>
    </r>
  </si>
  <si>
    <r>
      <t>Enabler: Integrate with Cadence for live coaching use cases </t>
    </r>
    <r>
      <rPr>
        <b/>
        <sz val="12"/>
        <color rgb="FFFF0000"/>
        <rFont val="Arial"/>
        <family val="2"/>
      </rPr>
      <t>Jeff</t>
    </r>
    <r>
      <rPr>
        <sz val="12"/>
        <color rgb="FF000000"/>
        <rFont val="Arial"/>
        <family val="2"/>
      </rPr>
      <t>/</t>
    </r>
    <r>
      <rPr>
        <b/>
        <sz val="12"/>
        <color rgb="FFFF0000"/>
        <rFont val="Arial"/>
        <family val="2"/>
      </rPr>
      <t>AHM</t>
    </r>
    <r>
      <rPr>
        <sz val="12"/>
        <color rgb="FF000000"/>
        <rFont val="Arial"/>
        <family val="2"/>
      </rPr>
      <t>​</t>
    </r>
  </si>
  <si>
    <r>
      <t>Care Manager Updates</t>
    </r>
    <r>
      <rPr>
        <sz val="12"/>
        <color rgb="FF000000"/>
        <rFont val="Arial"/>
        <family val="2"/>
      </rPr>
      <t> (CM Platform Updates to Downstream) </t>
    </r>
    <r>
      <rPr>
        <b/>
        <sz val="12"/>
        <color rgb="FFFF0000"/>
        <rFont val="Arial"/>
        <family val="2"/>
      </rPr>
      <t>Shilpa/Swati</t>
    </r>
    <r>
      <rPr>
        <sz val="12"/>
        <color rgb="FF000000"/>
        <rFont val="Arial"/>
        <family val="2"/>
      </rPr>
      <t>​</t>
    </r>
  </si>
  <si>
    <t>Enabler: Send Assessments, Cases, Medication, Labs in Near Real Time​</t>
  </si>
  <si>
    <r>
      <t>Patient Eligibility/Set-Up </t>
    </r>
    <r>
      <rPr>
        <b/>
        <sz val="12"/>
        <color rgb="FFFF0000"/>
        <rFont val="Arial"/>
        <family val="2"/>
      </rPr>
      <t>Shilpa</t>
    </r>
    <r>
      <rPr>
        <sz val="12"/>
        <color rgb="FF000000"/>
        <rFont val="Arial"/>
        <family val="2"/>
      </rPr>
      <t>​</t>
    </r>
  </si>
  <si>
    <t>Eligibility Member Updates &amp; Termination​</t>
  </si>
  <si>
    <t>Member Plan Association​</t>
  </si>
  <si>
    <r>
      <t>Member Engagement &amp; Interventions (LCC and other AHM-only programs) </t>
    </r>
    <r>
      <rPr>
        <b/>
        <sz val="12"/>
        <color rgb="FFFF0000"/>
        <rFont val="Arial"/>
        <family val="2"/>
      </rPr>
      <t>AHM</t>
    </r>
    <r>
      <rPr>
        <sz val="12"/>
        <color rgb="FF000000"/>
        <rFont val="Arial"/>
        <family val="2"/>
      </rPr>
      <t>​</t>
    </r>
  </si>
  <si>
    <t>Epic-MEP SSO​</t>
  </si>
  <si>
    <t>MEP-MyChart SSO​</t>
  </si>
  <si>
    <r>
      <t>MEP Integration</t>
    </r>
    <r>
      <rPr>
        <sz val="12"/>
        <color rgb="FF000000"/>
        <rFont val="Arial"/>
        <family val="2"/>
      </rPr>
      <t>​</t>
    </r>
  </si>
  <si>
    <r>
      <t>Live Coaching </t>
    </r>
    <r>
      <rPr>
        <b/>
        <sz val="12"/>
        <color rgb="FFFF0000"/>
        <rFont val="Arial"/>
        <family val="2"/>
      </rPr>
      <t>AHM</t>
    </r>
    <r>
      <rPr>
        <sz val="12"/>
        <color rgb="FF000000"/>
        <rFont val="Arial"/>
        <family val="2"/>
      </rPr>
      <t>​</t>
    </r>
  </si>
  <si>
    <r>
      <t>Integrate with Cadence for live coaching use cases</t>
    </r>
    <r>
      <rPr>
        <sz val="12"/>
        <color rgb="FF000000"/>
        <rFont val="Arial"/>
        <family val="2"/>
      </rPr>
      <t>​</t>
    </r>
  </si>
  <si>
    <t>CKD/ODS Pre-engagement letters via SFMC​</t>
  </si>
  <si>
    <r>
      <t>Enabler: Communications for other programs</t>
    </r>
    <r>
      <rPr>
        <sz val="12"/>
        <color rgb="FF000000"/>
        <rFont val="Arial"/>
        <family val="2"/>
      </rPr>
      <t>​</t>
    </r>
  </si>
  <si>
    <r>
      <t>Care Manager Updates (CM Platform Updates to Downstream)</t>
    </r>
    <r>
      <rPr>
        <sz val="12"/>
        <color rgb="FF000000"/>
        <rFont val="Arial"/>
        <family val="2"/>
      </rPr>
      <t>​</t>
    </r>
  </si>
  <si>
    <r>
      <t>Send Assessments, Cases, Medication, Labs in Near Real Time </t>
    </r>
    <r>
      <rPr>
        <b/>
        <sz val="12"/>
        <color rgb="FFFF0000"/>
        <rFont val="Arial"/>
        <family val="2"/>
      </rPr>
      <t>Shilpa/Swati</t>
    </r>
    <r>
      <rPr>
        <sz val="12"/>
        <color rgb="FF000000"/>
        <rFont val="Arial"/>
        <family val="2"/>
      </rPr>
      <t>​</t>
    </r>
  </si>
  <si>
    <r>
      <t>Communications for other programs</t>
    </r>
    <r>
      <rPr>
        <sz val="12"/>
        <color rgb="FF000000"/>
        <rFont val="Arial"/>
        <family val="2"/>
      </rPr>
      <t>​</t>
    </r>
  </si>
  <si>
    <r>
      <t>Complete list of features TBD. The scope will depend on the following:</t>
    </r>
    <r>
      <rPr>
        <sz val="12"/>
        <color rgb="FF000000"/>
        <rFont val="Arial"/>
        <family val="2"/>
      </rPr>
      <t>​</t>
    </r>
  </si>
  <si>
    <r>
      <t>Milestone/target date of each programs </t>
    </r>
    <r>
      <rPr>
        <sz val="12"/>
        <color rgb="FF000000"/>
        <rFont val="Arial"/>
        <family val="2"/>
      </rPr>
      <t>​</t>
    </r>
  </si>
  <si>
    <r>
      <t>Use cases </t>
    </r>
    <r>
      <rPr>
        <sz val="12"/>
        <color rgb="FF000000"/>
        <rFont val="Arial"/>
        <family val="2"/>
      </rPr>
      <t>​</t>
    </r>
  </si>
  <si>
    <r>
      <t>Solution</t>
    </r>
    <r>
      <rPr>
        <sz val="12"/>
        <color rgb="FF000000"/>
        <rFont val="Arial"/>
        <family val="2"/>
      </rPr>
      <t>​</t>
    </r>
  </si>
  <si>
    <t>DIGITAL EPIC ROADMAP</t>
  </si>
  <si>
    <t>EPIC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</si>
</sst>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color rgb="FF267AC0"/>
      <name val="Arial"/>
      <family val="2"/>
    </font>
    <font>
      <sz val="12"/>
      <color rgb="FF7030A0"/>
      <name val="Arial"/>
      <family val="2"/>
    </font>
    <font>
      <b/>
      <sz val="18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Fill="1"/>
    <xf numFmtId="0" fontId="0" fillId="6" borderId="0" xfId="0" applyFill="1"/>
    <xf numFmtId="0" fontId="0" fillId="0" borderId="0" xfId="0" applyFill="1" applyBorder="1"/>
    <xf numFmtId="0" fontId="0" fillId="0" borderId="0" xfId="0" applyFont="1"/>
    <xf numFmtId="0" fontId="1" fillId="0" borderId="0" xfId="0" applyFont="1" applyFill="1" applyBorder="1"/>
    <xf numFmtId="0" fontId="1" fillId="0" borderId="0" xfId="0" applyFont="1"/>
    <xf numFmtId="0" fontId="3" fillId="0" borderId="0" xfId="0" applyFont="1" applyFill="1" applyBorder="1"/>
    <xf numFmtId="16" fontId="0" fillId="3" borderId="1" xfId="0" applyNumberFormat="1" applyFont="1" applyFill="1" applyBorder="1" applyAlignment="1">
      <alignment wrapText="1"/>
    </xf>
    <xf numFmtId="16" fontId="0" fillId="3" borderId="0" xfId="0" applyNumberFormat="1" applyFont="1" applyFill="1" applyBorder="1" applyAlignment="1">
      <alignment wrapText="1"/>
    </xf>
    <xf numFmtId="0" fontId="0" fillId="0" borderId="0" xfId="0" applyFont="1" applyFill="1" applyBorder="1"/>
    <xf numFmtId="16" fontId="0" fillId="0" borderId="0" xfId="0" applyNumberFormat="1" applyFont="1" applyFill="1" applyBorder="1"/>
    <xf numFmtId="0" fontId="0" fillId="4" borderId="0" xfId="0" applyFont="1" applyFill="1" applyBorder="1"/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>
      <alignment wrapText="1"/>
    </xf>
    <xf numFmtId="0" fontId="0" fillId="8" borderId="0" xfId="0" applyFont="1" applyFill="1" applyBorder="1"/>
    <xf numFmtId="0" fontId="1" fillId="4" borderId="0" xfId="0" applyFont="1" applyFill="1" applyBorder="1" applyAlignment="1">
      <alignment wrapText="1"/>
    </xf>
    <xf numFmtId="16" fontId="0" fillId="0" borderId="0" xfId="0" applyNumberForma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0" fillId="5" borderId="0" xfId="0" applyFont="1" applyFill="1" applyBorder="1"/>
    <xf numFmtId="0" fontId="0" fillId="2" borderId="0" xfId="0" applyFont="1" applyFill="1" applyBorder="1"/>
    <xf numFmtId="0" fontId="0" fillId="7" borderId="0" xfId="0" applyFont="1" applyFill="1" applyBorder="1"/>
    <xf numFmtId="0" fontId="0" fillId="9" borderId="0" xfId="0" applyFont="1" applyFill="1" applyBorder="1"/>
    <xf numFmtId="0" fontId="0" fillId="5" borderId="0" xfId="0" applyFont="1" applyFill="1" applyBorder="1" applyAlignment="1">
      <alignment wrapText="1"/>
    </xf>
    <xf numFmtId="0" fontId="0" fillId="5" borderId="0" xfId="0" applyFont="1" applyFill="1" applyAlignment="1">
      <alignment wrapText="1"/>
    </xf>
    <xf numFmtId="0" fontId="0" fillId="4" borderId="0" xfId="0" applyFont="1" applyFill="1" applyBorder="1" applyAlignment="1">
      <alignment wrapText="1"/>
    </xf>
    <xf numFmtId="0" fontId="0" fillId="4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0" fillId="11" borderId="0" xfId="0" applyFont="1" applyFill="1" applyBorder="1"/>
    <xf numFmtId="0" fontId="0" fillId="8" borderId="0" xfId="0" applyFont="1" applyFill="1" applyAlignment="1">
      <alignment wrapText="1"/>
    </xf>
    <xf numFmtId="16" fontId="0" fillId="5" borderId="0" xfId="0" applyNumberFormat="1" applyFont="1" applyFill="1" applyBorder="1"/>
    <xf numFmtId="0" fontId="0" fillId="5" borderId="0" xfId="0" applyFill="1" applyAlignment="1">
      <alignment wrapText="1"/>
    </xf>
    <xf numFmtId="0" fontId="0" fillId="5" borderId="0" xfId="0" applyFill="1"/>
    <xf numFmtId="0" fontId="0" fillId="12" borderId="0" xfId="0" applyFont="1" applyFill="1" applyBorder="1"/>
    <xf numFmtId="0" fontId="0" fillId="12" borderId="0" xfId="0" applyFont="1" applyFill="1" applyBorder="1" applyAlignment="1">
      <alignment wrapText="1"/>
    </xf>
    <xf numFmtId="0" fontId="0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0" fillId="12" borderId="0" xfId="0" applyFill="1"/>
    <xf numFmtId="0" fontId="0" fillId="8" borderId="0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13" borderId="0" xfId="0" applyFont="1" applyFill="1" applyBorder="1"/>
    <xf numFmtId="0" fontId="0" fillId="13" borderId="0" xfId="0" applyFill="1" applyAlignment="1">
      <alignment wrapText="1"/>
    </xf>
    <xf numFmtId="0" fontId="0" fillId="13" borderId="0" xfId="0" applyFill="1"/>
    <xf numFmtId="0" fontId="2" fillId="13" borderId="0" xfId="0" applyFont="1" applyFill="1" applyBorder="1"/>
    <xf numFmtId="0" fontId="4" fillId="13" borderId="0" xfId="0" applyFont="1" applyFill="1" applyBorder="1" applyAlignment="1">
      <alignment wrapText="1"/>
    </xf>
    <xf numFmtId="0" fontId="2" fillId="13" borderId="0" xfId="0" applyFont="1" applyFill="1" applyBorder="1" applyAlignment="1">
      <alignment wrapText="1"/>
    </xf>
    <xf numFmtId="0" fontId="2" fillId="13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1" fillId="10" borderId="4" xfId="0" applyFont="1" applyFill="1" applyBorder="1"/>
    <xf numFmtId="0" fontId="0" fillId="10" borderId="2" xfId="0" applyFont="1" applyFill="1" applyBorder="1"/>
    <xf numFmtId="0" fontId="0" fillId="10" borderId="2" xfId="0" applyFont="1" applyFill="1" applyBorder="1" applyAlignment="1">
      <alignment wrapText="1"/>
    </xf>
    <xf numFmtId="0" fontId="0" fillId="10" borderId="2" xfId="0" applyFill="1" applyBorder="1" applyAlignment="1">
      <alignment wrapText="1"/>
    </xf>
    <xf numFmtId="0" fontId="0" fillId="10" borderId="2" xfId="0" applyFill="1" applyBorder="1"/>
    <xf numFmtId="0" fontId="0" fillId="10" borderId="3" xfId="0" applyFill="1" applyBorder="1"/>
    <xf numFmtId="16" fontId="0" fillId="10" borderId="2" xfId="0" applyNumberFormat="1" applyFont="1" applyFill="1" applyBorder="1"/>
    <xf numFmtId="0" fontId="0" fillId="14" borderId="0" xfId="0" applyFont="1" applyFill="1" applyBorder="1"/>
    <xf numFmtId="0" fontId="0" fillId="14" borderId="0" xfId="0" applyFont="1" applyFill="1" applyAlignment="1">
      <alignment wrapText="1"/>
    </xf>
    <xf numFmtId="0" fontId="0" fillId="14" borderId="0" xfId="0" applyFill="1" applyAlignment="1">
      <alignment wrapText="1"/>
    </xf>
    <xf numFmtId="0" fontId="0" fillId="14" borderId="0" xfId="0" applyFill="1"/>
    <xf numFmtId="0" fontId="0" fillId="15" borderId="0" xfId="0" applyFont="1" applyFill="1" applyBorder="1"/>
    <xf numFmtId="16" fontId="0" fillId="15" borderId="0" xfId="0" applyNumberFormat="1" applyFont="1" applyFill="1" applyBorder="1"/>
    <xf numFmtId="0" fontId="0" fillId="15" borderId="0" xfId="0" applyFont="1" applyFill="1" applyAlignment="1">
      <alignment wrapText="1"/>
    </xf>
    <xf numFmtId="0" fontId="0" fillId="15" borderId="0" xfId="0" applyFill="1" applyAlignment="1">
      <alignment wrapText="1"/>
    </xf>
    <xf numFmtId="0" fontId="0" fillId="15" borderId="0" xfId="0" applyFill="1"/>
    <xf numFmtId="0" fontId="0" fillId="16" borderId="0" xfId="0" applyFont="1" applyFill="1" applyBorder="1"/>
    <xf numFmtId="0" fontId="1" fillId="16" borderId="0" xfId="0" applyFont="1" applyFill="1" applyBorder="1" applyAlignment="1">
      <alignment wrapText="1"/>
    </xf>
    <xf numFmtId="0" fontId="0" fillId="16" borderId="0" xfId="0" applyFont="1" applyFill="1" applyBorder="1" applyAlignment="1">
      <alignment wrapText="1"/>
    </xf>
    <xf numFmtId="0" fontId="0" fillId="16" borderId="0" xfId="0" applyFont="1" applyFill="1" applyAlignment="1">
      <alignment wrapText="1"/>
    </xf>
    <xf numFmtId="0" fontId="0" fillId="16" borderId="0" xfId="0" applyFill="1" applyAlignment="1">
      <alignment wrapText="1"/>
    </xf>
    <xf numFmtId="0" fontId="0" fillId="16" borderId="0" xfId="0" applyFill="1"/>
    <xf numFmtId="0" fontId="0" fillId="17" borderId="0" xfId="0" applyFont="1" applyFill="1" applyBorder="1"/>
    <xf numFmtId="0" fontId="0" fillId="17" borderId="0" xfId="0" applyFont="1" applyFill="1" applyAlignment="1">
      <alignment wrapText="1"/>
    </xf>
    <xf numFmtId="0" fontId="0" fillId="17" borderId="0" xfId="0" applyFill="1" applyAlignment="1">
      <alignment wrapText="1"/>
    </xf>
    <xf numFmtId="0" fontId="0" fillId="17" borderId="0" xfId="0" applyFill="1"/>
    <xf numFmtId="0" fontId="0" fillId="18" borderId="0" xfId="0" applyFill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4"/>
    </xf>
    <xf numFmtId="16" fontId="5" fillId="0" borderId="0" xfId="0" applyNumberFormat="1" applyFont="1" applyFill="1" applyBorder="1"/>
    <xf numFmtId="0" fontId="5" fillId="0" borderId="0" xfId="0" applyFont="1" applyFill="1" applyBorder="1"/>
    <xf numFmtId="0" fontId="0" fillId="19" borderId="0" xfId="0" applyFont="1" applyFill="1" applyBorder="1" applyAlignment="1">
      <alignment wrapText="1"/>
    </xf>
    <xf numFmtId="16" fontId="0" fillId="2" borderId="0" xfId="0" applyNumberFormat="1" applyFont="1" applyFill="1" applyBorder="1"/>
    <xf numFmtId="0" fontId="0" fillId="2" borderId="0" xfId="0" applyFont="1" applyFill="1" applyBorder="1" applyAlignment="1">
      <alignment wrapText="1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20" borderId="0" xfId="0" applyFill="1" applyAlignment="1">
      <alignment wrapText="1"/>
    </xf>
    <xf numFmtId="0" fontId="0" fillId="21" borderId="0" xfId="0" applyFill="1"/>
    <xf numFmtId="0" fontId="0" fillId="22" borderId="0" xfId="0" applyFill="1"/>
    <xf numFmtId="0" fontId="0" fillId="22" borderId="0" xfId="0" applyFont="1" applyFill="1" applyBorder="1"/>
    <xf numFmtId="0" fontId="1" fillId="0" borderId="5" xfId="0" applyFont="1" applyFill="1" applyBorder="1"/>
    <xf numFmtId="0" fontId="0" fillId="0" borderId="6" xfId="0" applyFill="1" applyBorder="1"/>
    <xf numFmtId="0" fontId="0" fillId="23" borderId="11" xfId="0" applyFont="1" applyFill="1" applyBorder="1"/>
    <xf numFmtId="0" fontId="0" fillId="0" borderId="12" xfId="0" applyFont="1" applyFill="1" applyBorder="1"/>
    <xf numFmtId="0" fontId="0" fillId="18" borderId="0" xfId="0" applyFont="1" applyFill="1" applyBorder="1"/>
    <xf numFmtId="16" fontId="0" fillId="12" borderId="0" xfId="0" applyNumberFormat="1" applyFont="1" applyFill="1" applyBorder="1"/>
    <xf numFmtId="0" fontId="0" fillId="24" borderId="0" xfId="0" applyFont="1" applyFill="1" applyBorder="1"/>
    <xf numFmtId="0" fontId="0" fillId="24" borderId="0" xfId="0" applyFont="1" applyFill="1" applyBorder="1" applyAlignment="1">
      <alignment wrapText="1"/>
    </xf>
    <xf numFmtId="0" fontId="0" fillId="24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0" fillId="24" borderId="0" xfId="0" applyFill="1"/>
    <xf numFmtId="0" fontId="0" fillId="19" borderId="0" xfId="0" applyFill="1" applyAlignment="1">
      <alignment wrapText="1"/>
    </xf>
    <xf numFmtId="0" fontId="0" fillId="6" borderId="6" xfId="0" applyFill="1" applyBorder="1"/>
    <xf numFmtId="0" fontId="0" fillId="0" borderId="1" xfId="0" applyFont="1" applyFill="1" applyBorder="1"/>
    <xf numFmtId="0" fontId="0" fillId="0" borderId="1" xfId="0" applyBorder="1"/>
    <xf numFmtId="0" fontId="1" fillId="0" borderId="0" xfId="0" applyFont="1" applyFill="1" applyAlignment="1">
      <alignment wrapText="1"/>
    </xf>
    <xf numFmtId="0" fontId="0" fillId="0" borderId="13" xfId="0" applyFont="1" applyFill="1" applyBorder="1"/>
    <xf numFmtId="0" fontId="0" fillId="10" borderId="0" xfId="0" applyFont="1" applyFill="1" applyBorder="1"/>
    <xf numFmtId="0" fontId="0" fillId="10" borderId="0" xfId="0" applyFill="1" applyBorder="1"/>
    <xf numFmtId="0" fontId="0" fillId="0" borderId="0" xfId="0" applyFill="1" applyBorder="1" applyAlignment="1">
      <alignment wrapText="1"/>
    </xf>
    <xf numFmtId="0" fontId="0" fillId="6" borderId="0" xfId="0" applyFont="1" applyFill="1" applyBorder="1"/>
    <xf numFmtId="0" fontId="0" fillId="19" borderId="1" xfId="0" applyFont="1" applyFill="1" applyBorder="1" applyAlignment="1">
      <alignment wrapText="1"/>
    </xf>
    <xf numFmtId="0" fontId="0" fillId="19" borderId="1" xfId="0" applyFill="1" applyBorder="1" applyAlignment="1">
      <alignment wrapText="1"/>
    </xf>
    <xf numFmtId="16" fontId="0" fillId="0" borderId="1" xfId="0" applyNumberFormat="1" applyFill="1" applyBorder="1"/>
    <xf numFmtId="16" fontId="0" fillId="0" borderId="1" xfId="0" applyNumberFormat="1" applyFont="1" applyFill="1" applyBorder="1"/>
    <xf numFmtId="0" fontId="0" fillId="10" borderId="0" xfId="0" applyFill="1"/>
    <xf numFmtId="0" fontId="0" fillId="21" borderId="0" xfId="0" applyFont="1" applyFill="1"/>
    <xf numFmtId="16" fontId="0" fillId="10" borderId="0" xfId="0" applyNumberFormat="1" applyFill="1" applyBorder="1"/>
    <xf numFmtId="16" fontId="0" fillId="10" borderId="0" xfId="0" applyNumberFormat="1" applyFont="1" applyFill="1" applyBorder="1"/>
    <xf numFmtId="0" fontId="0" fillId="0" borderId="1" xfId="0" applyNumberFormat="1" applyFill="1" applyBorder="1"/>
    <xf numFmtId="0" fontId="0" fillId="19" borderId="14" xfId="0" applyFont="1" applyFill="1" applyBorder="1" applyAlignment="1">
      <alignment wrapText="1"/>
    </xf>
    <xf numFmtId="0" fontId="0" fillId="19" borderId="14" xfId="0" applyFill="1" applyBorder="1" applyAlignment="1">
      <alignment wrapText="1"/>
    </xf>
    <xf numFmtId="0" fontId="0" fillId="0" borderId="6" xfId="0" applyNumberFormat="1" applyFill="1" applyBorder="1"/>
    <xf numFmtId="16" fontId="0" fillId="0" borderId="12" xfId="0" applyNumberFormat="1" applyFont="1" applyFill="1" applyBorder="1"/>
    <xf numFmtId="0" fontId="0" fillId="0" borderId="7" xfId="0" applyNumberFormat="1" applyFont="1" applyFill="1" applyBorder="1"/>
    <xf numFmtId="0" fontId="0" fillId="0" borderId="1" xfId="0" applyNumberFormat="1" applyFont="1" applyFill="1" applyBorder="1"/>
    <xf numFmtId="1" fontId="0" fillId="0" borderId="6" xfId="0" applyNumberFormat="1" applyFont="1" applyFill="1" applyBorder="1"/>
    <xf numFmtId="1" fontId="0" fillId="0" borderId="1" xfId="0" applyNumberFormat="1" applyFill="1" applyBorder="1"/>
    <xf numFmtId="1" fontId="0" fillId="0" borderId="1" xfId="0" applyNumberFormat="1" applyFont="1" applyFill="1" applyBorder="1"/>
    <xf numFmtId="1" fontId="0" fillId="0" borderId="1" xfId="0" applyNumberFormat="1" applyBorder="1"/>
    <xf numFmtId="0" fontId="0" fillId="6" borderId="0" xfId="0" applyFill="1" applyAlignment="1">
      <alignment horizontal="left" vertical="center" indent="2"/>
    </xf>
    <xf numFmtId="0" fontId="0" fillId="25" borderId="0" xfId="0" applyFont="1" applyFill="1" applyBorder="1"/>
    <xf numFmtId="0" fontId="1" fillId="25" borderId="0" xfId="0" applyFont="1" applyFill="1" applyBorder="1" applyAlignment="1">
      <alignment wrapText="1"/>
    </xf>
    <xf numFmtId="0" fontId="0" fillId="25" borderId="0" xfId="0" applyFont="1" applyFill="1" applyBorder="1" applyAlignment="1">
      <alignment wrapText="1"/>
    </xf>
    <xf numFmtId="0" fontId="0" fillId="25" borderId="0" xfId="0" applyFont="1" applyFill="1" applyAlignment="1">
      <alignment wrapText="1"/>
    </xf>
    <xf numFmtId="0" fontId="0" fillId="25" borderId="0" xfId="0" applyFill="1" applyAlignment="1">
      <alignment wrapText="1"/>
    </xf>
    <xf numFmtId="0" fontId="0" fillId="25" borderId="0" xfId="0" applyFill="1"/>
    <xf numFmtId="0" fontId="0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0" borderId="0" xfId="0" applyFill="1"/>
    <xf numFmtId="0" fontId="0" fillId="20" borderId="0" xfId="0" quotePrefix="1" applyFill="1" applyAlignment="1">
      <alignment wrapText="1"/>
    </xf>
    <xf numFmtId="0" fontId="0" fillId="20" borderId="0" xfId="0" applyFill="1" applyAlignment="1"/>
    <xf numFmtId="0" fontId="0" fillId="3" borderId="0" xfId="0" applyFill="1"/>
    <xf numFmtId="0" fontId="0" fillId="3" borderId="0" xfId="0" applyFont="1" applyFill="1" applyBorder="1"/>
    <xf numFmtId="0" fontId="1" fillId="3" borderId="0" xfId="0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18" borderId="0" xfId="0" applyFont="1" applyFill="1" applyBorder="1" applyAlignment="1">
      <alignment wrapText="1"/>
    </xf>
    <xf numFmtId="0" fontId="0" fillId="18" borderId="0" xfId="0" applyFont="1" applyFill="1" applyAlignment="1">
      <alignment wrapText="1"/>
    </xf>
    <xf numFmtId="14" fontId="1" fillId="10" borderId="0" xfId="0" applyNumberFormat="1" applyFont="1" applyFill="1" applyAlignment="1">
      <alignment wrapText="1"/>
    </xf>
    <xf numFmtId="0" fontId="1" fillId="10" borderId="0" xfId="0" applyFont="1" applyFill="1" applyAlignment="1">
      <alignment wrapText="1"/>
    </xf>
    <xf numFmtId="16" fontId="1" fillId="10" borderId="0" xfId="0" applyNumberFormat="1" applyFont="1" applyFill="1"/>
    <xf numFmtId="0" fontId="0" fillId="21" borderId="2" xfId="0" applyFont="1" applyFill="1" applyBorder="1"/>
    <xf numFmtId="0" fontId="2" fillId="26" borderId="0" xfId="0" applyFont="1" applyFill="1" applyBorder="1"/>
    <xf numFmtId="0" fontId="0" fillId="26" borderId="0" xfId="0" applyFont="1" applyFill="1" applyBorder="1"/>
    <xf numFmtId="0" fontId="4" fillId="26" borderId="0" xfId="0" applyFont="1" applyFill="1" applyBorder="1" applyAlignment="1">
      <alignment wrapText="1"/>
    </xf>
    <xf numFmtId="0" fontId="2" fillId="26" borderId="0" xfId="0" applyFont="1" applyFill="1" applyBorder="1" applyAlignment="1">
      <alignment wrapText="1"/>
    </xf>
    <xf numFmtId="0" fontId="2" fillId="26" borderId="0" xfId="0" applyFont="1" applyFill="1" applyAlignment="1">
      <alignment wrapText="1"/>
    </xf>
    <xf numFmtId="0" fontId="0" fillId="26" borderId="0" xfId="0" applyFill="1" applyAlignment="1">
      <alignment wrapText="1"/>
    </xf>
    <xf numFmtId="0" fontId="0" fillId="26" borderId="0" xfId="0" applyFill="1"/>
    <xf numFmtId="0" fontId="0" fillId="6" borderId="7" xfId="0" applyFill="1" applyBorder="1" applyAlignment="1">
      <alignment wrapText="1"/>
    </xf>
    <xf numFmtId="0" fontId="0" fillId="12" borderId="0" xfId="0" applyFont="1" applyFill="1"/>
    <xf numFmtId="0" fontId="0" fillId="13" borderId="0" xfId="0" applyFont="1" applyFill="1"/>
    <xf numFmtId="0" fontId="0" fillId="26" borderId="0" xfId="0" applyFont="1" applyFill="1"/>
    <xf numFmtId="0" fontId="0" fillId="6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16" fontId="14" fillId="6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  <color rgb="FFFFFFCC"/>
      <color rgb="FFFF9999"/>
      <color rgb="FFFF3399"/>
      <color rgb="FFFF6600"/>
      <color rgb="FF66CCFF"/>
      <color rgb="FF9999FF"/>
      <color rgb="FF00FFCC"/>
      <color rgb="FF9933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19</xdr:col>
      <xdr:colOff>398705</xdr:colOff>
      <xdr:row>36</xdr:row>
      <xdr:rowOff>129376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8300"/>
          <a:ext cx="10761905" cy="6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19</xdr:col>
      <xdr:colOff>351086</xdr:colOff>
      <xdr:row>62</xdr:row>
      <xdr:rowOff>15298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6813550"/>
          <a:ext cx="10714286" cy="4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3"/>
  <sheetViews>
    <sheetView topLeftCell="A3" zoomScale="140" zoomScaleNormal="140" workbookViewId="0">
      <pane ySplit="1" topLeftCell="A12" activePane="bottomLeft" state="frozen"/>
      <selection activeCell="A3" sqref="A3"/>
      <selection pane="bottomLeft" activeCell="J33" sqref="J33"/>
    </sheetView>
  </sheetViews>
  <sheetFormatPr baseColWidth="10" defaultColWidth="8.83203125" defaultRowHeight="15" x14ac:dyDescent="0.2"/>
  <cols>
    <col min="1" max="1" width="32.1640625" customWidth="1"/>
    <col min="2" max="3" width="0" hidden="1" customWidth="1"/>
    <col min="4" max="4" width="40.5" customWidth="1"/>
    <col min="6" max="6" width="6.33203125" bestFit="1" customWidth="1"/>
    <col min="7" max="7" width="12.33203125" customWidth="1"/>
    <col min="8" max="8" width="10.6640625" customWidth="1"/>
    <col min="10" max="10" width="8.83203125" bestFit="1" customWidth="1"/>
    <col min="14" max="14" width="9.6640625" customWidth="1"/>
    <col min="15" max="16" width="9.83203125" bestFit="1" customWidth="1"/>
    <col min="17" max="17" width="9.33203125" customWidth="1"/>
    <col min="18" max="18" width="12.1640625" bestFit="1" customWidth="1"/>
    <col min="20" max="20" width="8.83203125" customWidth="1"/>
    <col min="21" max="21" width="9.1640625" style="15" customWidth="1"/>
    <col min="22" max="22" width="8.83203125" style="15"/>
    <col min="23" max="23" width="8.1640625" style="15" customWidth="1"/>
    <col min="24" max="29" width="8.83203125" style="15"/>
    <col min="30" max="30" width="8.83203125" style="3"/>
    <col min="31" max="31" width="7.6640625" style="3" customWidth="1"/>
    <col min="32" max="32" width="8" style="3" customWidth="1"/>
    <col min="33" max="68" width="8.83203125" style="3"/>
  </cols>
  <sheetData>
    <row r="1" spans="1:48" hidden="1" x14ac:dyDescent="0.2"/>
    <row r="2" spans="1:48" hidden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16"/>
      <c r="V2" s="16"/>
      <c r="W2" s="16"/>
      <c r="X2" s="16"/>
    </row>
    <row r="3" spans="1:48" ht="33" thickBot="1" x14ac:dyDescent="0.25">
      <c r="A3" s="6" t="s">
        <v>139</v>
      </c>
      <c r="B3" s="10" t="s">
        <v>14</v>
      </c>
      <c r="C3" s="10" t="s">
        <v>13</v>
      </c>
      <c r="D3" s="10"/>
      <c r="E3" s="10"/>
      <c r="F3" s="10" t="s">
        <v>12</v>
      </c>
      <c r="G3" s="10" t="s">
        <v>11</v>
      </c>
      <c r="H3" s="10" t="s">
        <v>10</v>
      </c>
      <c r="I3" s="10" t="s">
        <v>9</v>
      </c>
      <c r="J3" s="10" t="s">
        <v>8</v>
      </c>
      <c r="K3" s="10" t="s">
        <v>7</v>
      </c>
      <c r="L3" s="10" t="s">
        <v>6</v>
      </c>
      <c r="M3" s="10" t="s">
        <v>5</v>
      </c>
      <c r="N3" s="10" t="s">
        <v>4</v>
      </c>
      <c r="O3" s="10" t="s">
        <v>3</v>
      </c>
      <c r="P3" s="10" t="s">
        <v>2</v>
      </c>
      <c r="Q3" s="10" t="s">
        <v>22</v>
      </c>
      <c r="R3" s="10" t="s">
        <v>1</v>
      </c>
      <c r="S3" s="10" t="s">
        <v>15</v>
      </c>
      <c r="T3" s="10" t="s">
        <v>21</v>
      </c>
      <c r="U3" s="160" t="s">
        <v>16</v>
      </c>
      <c r="V3" s="161" t="s">
        <v>17</v>
      </c>
      <c r="W3" s="161" t="s">
        <v>25</v>
      </c>
      <c r="X3" s="161" t="s">
        <v>26</v>
      </c>
      <c r="Y3" s="161" t="s">
        <v>27</v>
      </c>
      <c r="Z3" s="161" t="s">
        <v>28</v>
      </c>
      <c r="AA3" s="161" t="s">
        <v>29</v>
      </c>
      <c r="AB3" s="161" t="s">
        <v>30</v>
      </c>
      <c r="AC3" s="161" t="s">
        <v>31</v>
      </c>
      <c r="AD3" s="161" t="s">
        <v>32</v>
      </c>
      <c r="AE3" s="161" t="s">
        <v>33</v>
      </c>
      <c r="AF3" s="161" t="s">
        <v>34</v>
      </c>
      <c r="AG3" s="161" t="s">
        <v>35</v>
      </c>
      <c r="AH3" s="161" t="s">
        <v>36</v>
      </c>
      <c r="AI3" s="161" t="s">
        <v>37</v>
      </c>
      <c r="AJ3" s="161" t="s">
        <v>38</v>
      </c>
      <c r="AK3" s="161" t="s">
        <v>39</v>
      </c>
      <c r="AL3" s="161" t="s">
        <v>40</v>
      </c>
      <c r="AM3" s="161" t="s">
        <v>41</v>
      </c>
      <c r="AN3" s="161" t="s">
        <v>42</v>
      </c>
      <c r="AO3" s="161" t="s">
        <v>43</v>
      </c>
      <c r="AP3" s="161" t="s">
        <v>44</v>
      </c>
      <c r="AQ3" s="161" t="s">
        <v>46</v>
      </c>
      <c r="AR3" s="161" t="s">
        <v>45</v>
      </c>
      <c r="AS3" s="162" t="s">
        <v>47</v>
      </c>
      <c r="AT3" s="161" t="s">
        <v>48</v>
      </c>
      <c r="AU3" s="161" t="s">
        <v>49</v>
      </c>
      <c r="AV3" s="161" t="s">
        <v>50</v>
      </c>
    </row>
    <row r="4" spans="1:48" hidden="1" x14ac:dyDescent="0.2">
      <c r="A4" s="8" t="s">
        <v>75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6"/>
      <c r="V4" s="16"/>
      <c r="W4" s="16"/>
      <c r="X4" s="16"/>
    </row>
    <row r="5" spans="1:48" hidden="1" x14ac:dyDescent="0.2">
      <c r="A5" s="24" t="s">
        <v>51</v>
      </c>
      <c r="B5" s="12"/>
      <c r="C5" s="12"/>
      <c r="D5" s="12"/>
      <c r="E5" s="12"/>
      <c r="F5" s="24"/>
      <c r="G5" s="24"/>
      <c r="H5" s="24"/>
      <c r="I5" s="24"/>
      <c r="J5" s="24" t="s">
        <v>58</v>
      </c>
      <c r="K5" s="24"/>
      <c r="L5" s="24"/>
      <c r="M5" s="24"/>
      <c r="N5" s="24"/>
      <c r="O5" s="24"/>
      <c r="P5" s="24"/>
      <c r="Q5" s="24"/>
      <c r="R5" s="24"/>
      <c r="S5" s="24"/>
      <c r="T5" s="32" t="s">
        <v>56</v>
      </c>
      <c r="U5" s="17"/>
      <c r="V5" s="16"/>
      <c r="W5" s="16"/>
      <c r="X5" s="16"/>
    </row>
    <row r="6" spans="1:48" hidden="1" x14ac:dyDescent="0.2">
      <c r="A6" s="7" t="s">
        <v>52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7"/>
      <c r="V6" s="16"/>
      <c r="W6" s="16"/>
      <c r="X6" s="16"/>
    </row>
    <row r="7" spans="1:48" hidden="1" x14ac:dyDescent="0.2">
      <c r="A7" s="12" t="s">
        <v>19</v>
      </c>
      <c r="B7" s="12"/>
      <c r="C7" s="12"/>
      <c r="D7" s="12"/>
      <c r="E7" s="12"/>
      <c r="F7" s="25"/>
      <c r="G7" s="25"/>
      <c r="H7" s="25"/>
      <c r="I7" s="25"/>
      <c r="J7" s="25" t="s">
        <v>58</v>
      </c>
      <c r="K7" s="25"/>
      <c r="L7" s="25"/>
      <c r="M7" s="25"/>
      <c r="N7" s="25"/>
      <c r="O7" s="25"/>
      <c r="P7" s="25"/>
      <c r="Q7" s="25"/>
      <c r="R7" s="25"/>
      <c r="S7" s="25"/>
      <c r="T7" s="32" t="s">
        <v>56</v>
      </c>
      <c r="U7" s="17"/>
      <c r="V7" s="16"/>
      <c r="W7" s="16"/>
      <c r="X7" s="16"/>
    </row>
    <row r="8" spans="1:48" ht="16" hidden="1" thickBot="1" x14ac:dyDescent="0.25">
      <c r="A8" s="12" t="s">
        <v>53</v>
      </c>
      <c r="B8" s="12"/>
      <c r="C8" s="12"/>
      <c r="D8" s="12"/>
      <c r="E8" s="12"/>
      <c r="F8" s="12"/>
      <c r="G8" s="12"/>
      <c r="H8" s="26"/>
      <c r="I8" s="26"/>
      <c r="J8" s="26"/>
      <c r="K8" s="26"/>
      <c r="L8" s="26"/>
      <c r="M8" s="26"/>
      <c r="N8" s="26"/>
      <c r="O8" s="26"/>
      <c r="P8" s="26" t="s">
        <v>59</v>
      </c>
      <c r="Q8" s="26"/>
      <c r="R8" s="26"/>
      <c r="S8" s="26" t="s">
        <v>18</v>
      </c>
      <c r="T8" s="32" t="s">
        <v>56</v>
      </c>
      <c r="U8" s="17"/>
      <c r="V8" s="16"/>
      <c r="W8" s="16"/>
      <c r="X8" s="16"/>
    </row>
    <row r="9" spans="1:48" ht="16" thickBot="1" x14ac:dyDescent="0.25">
      <c r="A9" s="52" t="s">
        <v>138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163" t="s">
        <v>51</v>
      </c>
      <c r="O9" s="163"/>
      <c r="P9" s="163"/>
      <c r="Q9" s="163"/>
      <c r="R9" s="163"/>
      <c r="S9" s="163"/>
      <c r="T9" s="163" t="s">
        <v>160</v>
      </c>
      <c r="U9" s="54"/>
      <c r="V9" s="54"/>
      <c r="W9" s="54"/>
      <c r="X9" s="54"/>
      <c r="Y9" s="55"/>
      <c r="Z9" s="55"/>
      <c r="AA9" s="55"/>
      <c r="AB9" s="55"/>
      <c r="AC9" s="55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7"/>
    </row>
    <row r="10" spans="1:48" ht="48" x14ac:dyDescent="0.2">
      <c r="A10" s="24" t="s">
        <v>54</v>
      </c>
      <c r="B10" s="12"/>
      <c r="C10" s="12"/>
      <c r="D10" s="4" t="s">
        <v>140</v>
      </c>
      <c r="E10" s="87" t="s">
        <v>130</v>
      </c>
      <c r="F10" s="111" t="s">
        <v>135</v>
      </c>
      <c r="G10" s="111" t="s">
        <v>136</v>
      </c>
      <c r="H10" s="111" t="s">
        <v>137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7"/>
      <c r="V10" s="16"/>
      <c r="W10" s="16"/>
      <c r="X10" s="16"/>
    </row>
    <row r="11" spans="1:48" ht="48" x14ac:dyDescent="0.2">
      <c r="A11" s="12" t="s">
        <v>57</v>
      </c>
      <c r="B11" s="12"/>
      <c r="C11" s="12"/>
      <c r="D11" s="17" t="s">
        <v>159</v>
      </c>
      <c r="E11" s="12" t="s">
        <v>123</v>
      </c>
      <c r="F11" s="12"/>
      <c r="G11" s="12"/>
      <c r="H11" s="12"/>
      <c r="I11" s="12"/>
      <c r="J11" s="104" t="s">
        <v>60</v>
      </c>
      <c r="K11" s="104"/>
      <c r="L11" s="104" t="s">
        <v>119</v>
      </c>
      <c r="M11" s="104" t="s">
        <v>119</v>
      </c>
      <c r="N11" s="104" t="s">
        <v>120</v>
      </c>
      <c r="O11" s="104"/>
      <c r="P11" s="104"/>
      <c r="Q11" s="104"/>
      <c r="R11" s="104"/>
      <c r="S11" s="104"/>
      <c r="T11" s="104"/>
      <c r="U11" s="158" t="s">
        <v>20</v>
      </c>
      <c r="V11" s="159"/>
      <c r="W11" s="159"/>
      <c r="X11" s="159" t="s">
        <v>18</v>
      </c>
      <c r="Y11" s="78"/>
      <c r="Z11" s="78" t="s">
        <v>74</v>
      </c>
      <c r="AA11" s="31" t="s">
        <v>55</v>
      </c>
    </row>
    <row r="12" spans="1:48" ht="16" x14ac:dyDescent="0.2">
      <c r="A12" s="12" t="s">
        <v>162</v>
      </c>
      <c r="B12" s="12"/>
      <c r="C12" s="12"/>
      <c r="D12" s="12"/>
      <c r="E12" s="12" t="s">
        <v>123</v>
      </c>
      <c r="F12" s="12"/>
      <c r="G12" s="12"/>
      <c r="H12" s="12"/>
      <c r="I12" s="12"/>
      <c r="J12" s="12"/>
      <c r="K12" s="12"/>
      <c r="L12" s="18" t="s">
        <v>60</v>
      </c>
      <c r="M12" s="18"/>
      <c r="N12" s="18"/>
      <c r="O12" s="18" t="s">
        <v>23</v>
      </c>
      <c r="P12" s="18"/>
      <c r="Q12" s="18" t="s">
        <v>61</v>
      </c>
      <c r="R12" s="18"/>
      <c r="S12" s="18"/>
      <c r="T12" s="18"/>
      <c r="U12" s="42"/>
      <c r="V12" s="33" t="s">
        <v>20</v>
      </c>
      <c r="W12" s="33"/>
      <c r="X12" s="33" t="s">
        <v>72</v>
      </c>
      <c r="Y12" s="51"/>
      <c r="Z12" s="51" t="s">
        <v>74</v>
      </c>
      <c r="AA12" s="31" t="s">
        <v>55</v>
      </c>
    </row>
    <row r="13" spans="1:48" ht="16" thickBo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2"/>
      <c r="R13" s="12"/>
      <c r="S13" s="12"/>
      <c r="T13" s="12"/>
      <c r="U13" s="17"/>
      <c r="V13" s="16"/>
      <c r="W13" s="16"/>
      <c r="X13" s="16"/>
    </row>
    <row r="14" spans="1:48" ht="16" thickBot="1" x14ac:dyDescent="0.25">
      <c r="A14" s="52" t="s">
        <v>75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8"/>
      <c r="Q14" s="53"/>
      <c r="R14" s="53"/>
      <c r="S14" s="53"/>
      <c r="T14" s="53"/>
      <c r="U14" s="54"/>
      <c r="V14" s="54"/>
      <c r="W14" s="54"/>
      <c r="X14" s="54"/>
      <c r="Y14" s="55"/>
      <c r="Z14" s="55"/>
      <c r="AA14" s="55"/>
      <c r="AB14" s="55"/>
      <c r="AC14" s="55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7"/>
    </row>
    <row r="15" spans="1:48" ht="65" thickBot="1" x14ac:dyDescent="0.25">
      <c r="A15" s="7" t="s">
        <v>78</v>
      </c>
      <c r="D15" s="115" t="s">
        <v>142</v>
      </c>
      <c r="E15" s="87" t="s">
        <v>130</v>
      </c>
      <c r="F15" s="111" t="s">
        <v>135</v>
      </c>
      <c r="G15" s="111" t="s">
        <v>136</v>
      </c>
      <c r="H15" s="111" t="s">
        <v>137</v>
      </c>
      <c r="AC15" s="175" t="s">
        <v>175</v>
      </c>
    </row>
    <row r="16" spans="1:48" ht="32" x14ac:dyDescent="0.2">
      <c r="A16" s="90" t="s">
        <v>144</v>
      </c>
      <c r="B16" s="91"/>
      <c r="C16" s="91"/>
      <c r="D16" s="171" t="s">
        <v>173</v>
      </c>
      <c r="E16" s="116">
        <v>310</v>
      </c>
      <c r="F16" s="113">
        <f>SUM(E16)/40</f>
        <v>7.75</v>
      </c>
      <c r="G16" s="138">
        <f>SUM(F16)/2</f>
        <v>3.875</v>
      </c>
      <c r="H16" s="113" t="s">
        <v>131</v>
      </c>
      <c r="I16" s="12"/>
      <c r="J16" s="105" t="s">
        <v>60</v>
      </c>
      <c r="K16" s="105"/>
      <c r="L16" s="37"/>
      <c r="M16" s="37"/>
      <c r="N16" s="37" t="s">
        <v>24</v>
      </c>
      <c r="O16" s="37" t="s">
        <v>24</v>
      </c>
      <c r="P16" s="37" t="s">
        <v>141</v>
      </c>
      <c r="Q16" s="41"/>
      <c r="R16" s="37"/>
      <c r="S16" s="37"/>
      <c r="T16" s="37" t="s">
        <v>20</v>
      </c>
      <c r="U16" s="38"/>
      <c r="V16" s="39"/>
      <c r="W16" s="39"/>
      <c r="X16" s="39" t="s">
        <v>0</v>
      </c>
      <c r="Y16" s="40"/>
      <c r="Z16" s="40"/>
      <c r="AA16" s="40" t="s">
        <v>72</v>
      </c>
      <c r="AB16" s="40"/>
      <c r="AC16" s="175"/>
      <c r="AD16" s="41" t="s">
        <v>134</v>
      </c>
      <c r="AE16" s="41"/>
      <c r="AF16" s="41"/>
      <c r="AG16" s="40"/>
      <c r="AH16" s="172" t="s">
        <v>55</v>
      </c>
      <c r="AI16" s="97" t="s">
        <v>56</v>
      </c>
    </row>
    <row r="17" spans="1:68" ht="16.5" customHeight="1" thickBot="1" x14ac:dyDescent="0.25">
      <c r="A17" s="93" t="s">
        <v>174</v>
      </c>
      <c r="B17" s="94"/>
      <c r="C17" s="94"/>
      <c r="D17" s="95"/>
      <c r="E17" s="116">
        <v>1740</v>
      </c>
      <c r="F17" s="113">
        <f>SUM(E17)/40</f>
        <v>43.5</v>
      </c>
      <c r="G17" s="138">
        <f>SUM(F17)/4</f>
        <v>10.875</v>
      </c>
      <c r="H17" s="113" t="s">
        <v>132</v>
      </c>
      <c r="I17" s="12"/>
      <c r="J17" s="47" t="s">
        <v>60</v>
      </c>
      <c r="K17" s="47"/>
      <c r="L17" s="44"/>
      <c r="M17" s="44"/>
      <c r="N17" s="47" t="s">
        <v>24</v>
      </c>
      <c r="O17" s="47" t="s">
        <v>24</v>
      </c>
      <c r="P17" s="47" t="s">
        <v>71</v>
      </c>
      <c r="Q17" s="47"/>
      <c r="R17" s="47" t="s">
        <v>145</v>
      </c>
      <c r="S17" s="44"/>
      <c r="T17" s="48"/>
      <c r="U17" s="49"/>
      <c r="V17" s="50"/>
      <c r="W17" s="50"/>
      <c r="X17" s="50"/>
      <c r="Y17" s="50"/>
      <c r="Z17" s="50" t="s">
        <v>20</v>
      </c>
      <c r="AA17" s="50"/>
      <c r="AB17" s="45"/>
      <c r="AC17" s="175" t="s">
        <v>0</v>
      </c>
      <c r="AD17" s="46" t="s">
        <v>133</v>
      </c>
      <c r="AE17" s="46"/>
      <c r="AF17" s="46"/>
      <c r="AG17" s="45"/>
      <c r="AH17" s="173"/>
      <c r="AI17" s="97"/>
    </row>
    <row r="18" spans="1:68" ht="16.5" customHeight="1" x14ac:dyDescent="0.2">
      <c r="A18" s="12" t="s">
        <v>167</v>
      </c>
      <c r="B18" s="12"/>
      <c r="C18" s="12"/>
      <c r="D18" s="7" t="s">
        <v>168</v>
      </c>
      <c r="E18" s="113"/>
      <c r="F18" s="113"/>
      <c r="G18" s="138"/>
      <c r="H18" s="113"/>
      <c r="I18" s="12"/>
      <c r="J18" s="165" t="s">
        <v>66</v>
      </c>
      <c r="K18" s="164"/>
      <c r="L18" s="165"/>
      <c r="M18" s="165"/>
      <c r="N18" s="165" t="s">
        <v>24</v>
      </c>
      <c r="O18" s="165" t="s">
        <v>24</v>
      </c>
      <c r="P18" s="164"/>
      <c r="Q18" s="164"/>
      <c r="R18" s="164"/>
      <c r="S18" s="165"/>
      <c r="T18" s="166"/>
      <c r="U18" s="167"/>
      <c r="V18" s="168"/>
      <c r="W18" s="168"/>
      <c r="X18" s="168"/>
      <c r="Y18" s="168"/>
      <c r="Z18" s="168"/>
      <c r="AA18" s="168"/>
      <c r="AB18" s="169"/>
      <c r="AC18" s="175"/>
      <c r="AD18" s="170"/>
      <c r="AE18" s="170"/>
      <c r="AF18" s="170"/>
      <c r="AG18" s="169"/>
      <c r="AH18" s="174"/>
      <c r="AI18" s="97"/>
    </row>
    <row r="19" spans="1:68" ht="16" thickBot="1" x14ac:dyDescent="0.25"/>
    <row r="20" spans="1:68" ht="16" thickBot="1" x14ac:dyDescent="0.25">
      <c r="A20" s="52" t="s">
        <v>76</v>
      </c>
      <c r="B20" s="53"/>
      <c r="C20" s="53"/>
      <c r="D20" s="53"/>
      <c r="E20" s="117"/>
      <c r="F20" s="117"/>
      <c r="G20" s="117"/>
      <c r="H20" s="117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4"/>
      <c r="V20" s="54"/>
      <c r="W20" s="54"/>
      <c r="X20" s="54"/>
      <c r="Y20" s="55"/>
      <c r="Z20" s="55"/>
      <c r="AA20" s="55"/>
      <c r="AB20" s="55"/>
      <c r="AC20" s="55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7"/>
    </row>
    <row r="21" spans="1:68" ht="48" x14ac:dyDescent="0.2">
      <c r="A21" s="7"/>
      <c r="B21" s="12"/>
      <c r="C21" s="12"/>
      <c r="D21" s="120" t="s">
        <v>143</v>
      </c>
      <c r="E21" s="121" t="s">
        <v>130</v>
      </c>
      <c r="F21" s="122" t="s">
        <v>135</v>
      </c>
      <c r="G21" s="122" t="s">
        <v>136</v>
      </c>
      <c r="H21" s="122" t="s">
        <v>137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7"/>
      <c r="V21" s="17"/>
      <c r="W21" s="17"/>
      <c r="X21" s="17"/>
      <c r="Y21" s="119"/>
      <c r="Z21" s="119"/>
      <c r="AA21" s="119"/>
      <c r="AB21" s="119"/>
      <c r="AC21" s="119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68" ht="16" x14ac:dyDescent="0.2">
      <c r="A22" s="17" t="s">
        <v>146</v>
      </c>
      <c r="D22" s="12"/>
      <c r="E22" s="114">
        <v>1240</v>
      </c>
      <c r="F22" s="114">
        <f>SUM(E22)/40</f>
        <v>31</v>
      </c>
      <c r="G22" s="139">
        <f>SUM(F22)/3</f>
        <v>10.333333333333334</v>
      </c>
      <c r="H22" s="114" t="s">
        <v>147</v>
      </c>
      <c r="I22" s="12"/>
      <c r="J22" s="106"/>
      <c r="K22" s="106"/>
      <c r="L22" s="106" t="s">
        <v>60</v>
      </c>
      <c r="M22" s="106"/>
      <c r="N22" s="106"/>
      <c r="O22" s="106"/>
      <c r="P22" s="106" t="s">
        <v>24</v>
      </c>
      <c r="Q22" s="106" t="s">
        <v>24</v>
      </c>
      <c r="R22" s="106"/>
      <c r="S22" s="106" t="s">
        <v>148</v>
      </c>
      <c r="T22" s="106"/>
      <c r="U22" s="107"/>
      <c r="V22" s="108"/>
      <c r="W22" s="108"/>
      <c r="X22" s="108"/>
      <c r="Y22" s="109"/>
      <c r="Z22" s="109"/>
      <c r="AA22" s="109"/>
      <c r="AB22" s="109" t="s">
        <v>20</v>
      </c>
      <c r="AC22" s="109"/>
      <c r="AD22" s="110"/>
      <c r="AE22" s="110"/>
      <c r="AF22" s="110"/>
      <c r="AG22" s="110"/>
      <c r="AH22" s="126" t="s">
        <v>56</v>
      </c>
    </row>
    <row r="23" spans="1:68" ht="16" x14ac:dyDescent="0.2">
      <c r="A23" s="12" t="s">
        <v>63</v>
      </c>
      <c r="B23" s="12"/>
      <c r="C23" s="12"/>
      <c r="D23" s="12" t="s">
        <v>126</v>
      </c>
      <c r="E23" s="113"/>
      <c r="F23" s="113"/>
      <c r="G23" s="113"/>
      <c r="H23" s="113"/>
      <c r="I23" s="12"/>
      <c r="J23" s="12"/>
      <c r="K23" s="12"/>
      <c r="L23" s="12"/>
      <c r="M23" s="12"/>
      <c r="N23" s="59" t="s">
        <v>60</v>
      </c>
      <c r="O23" s="59"/>
      <c r="P23" s="59"/>
      <c r="Q23" s="59"/>
      <c r="R23" s="59"/>
      <c r="S23" s="59"/>
      <c r="T23" s="59"/>
      <c r="U23" s="59" t="s">
        <v>79</v>
      </c>
      <c r="V23" s="60"/>
      <c r="W23" s="60"/>
      <c r="X23" s="60"/>
      <c r="Y23" s="61"/>
      <c r="Z23" s="61"/>
      <c r="AA23" s="61"/>
      <c r="AB23" s="61" t="s">
        <v>20</v>
      </c>
      <c r="AC23" s="61"/>
      <c r="AD23" s="62"/>
      <c r="AE23" s="62"/>
      <c r="AF23" s="62"/>
      <c r="AG23" s="62"/>
      <c r="AH23" s="62" t="s">
        <v>0</v>
      </c>
      <c r="AI23" s="62"/>
      <c r="AJ23" s="62"/>
      <c r="AK23" s="62" t="s">
        <v>73</v>
      </c>
      <c r="AL23" s="62"/>
      <c r="AM23" s="62"/>
      <c r="AN23" s="97" t="s">
        <v>56</v>
      </c>
    </row>
    <row r="24" spans="1:68" ht="16" x14ac:dyDescent="0.2">
      <c r="A24" s="12" t="s">
        <v>62</v>
      </c>
      <c r="B24" s="12"/>
      <c r="C24" s="12"/>
      <c r="D24" s="99" t="s">
        <v>155</v>
      </c>
      <c r="E24" s="113">
        <v>300</v>
      </c>
      <c r="F24" s="113">
        <f>SUM(E24)/40</f>
        <v>7.5</v>
      </c>
      <c r="G24" s="113"/>
      <c r="H24" s="113"/>
      <c r="I24" s="13"/>
      <c r="J24" s="12"/>
      <c r="K24" s="12"/>
      <c r="L24" s="12"/>
      <c r="M24" s="12"/>
      <c r="N24" s="64" t="s">
        <v>60</v>
      </c>
      <c r="O24" s="63"/>
      <c r="P24" s="63"/>
      <c r="Q24" s="63"/>
      <c r="R24" s="63"/>
      <c r="S24" s="63"/>
      <c r="T24" s="63"/>
      <c r="U24" s="63" t="s">
        <v>79</v>
      </c>
      <c r="V24" s="65"/>
      <c r="W24" s="65"/>
      <c r="X24" s="65"/>
      <c r="Y24" s="66"/>
      <c r="Z24" s="66"/>
      <c r="AA24" s="66"/>
      <c r="AB24" s="66" t="s">
        <v>20</v>
      </c>
      <c r="AC24" s="66"/>
      <c r="AD24" s="67"/>
      <c r="AE24" s="67"/>
      <c r="AF24" s="67"/>
      <c r="AG24" s="67"/>
      <c r="AH24" s="67" t="s">
        <v>0</v>
      </c>
      <c r="AI24" s="67"/>
      <c r="AJ24" s="67"/>
      <c r="AK24" s="67" t="s">
        <v>73</v>
      </c>
      <c r="AL24" s="67"/>
      <c r="AM24" s="67"/>
      <c r="AN24" s="97" t="s">
        <v>56</v>
      </c>
    </row>
    <row r="25" spans="1:68" ht="17" thickBot="1" x14ac:dyDescent="0.25">
      <c r="A25" s="12" t="s">
        <v>81</v>
      </c>
      <c r="B25" s="5"/>
      <c r="C25" s="5"/>
      <c r="D25" s="12" t="s">
        <v>126</v>
      </c>
      <c r="E25" s="113" t="s">
        <v>123</v>
      </c>
      <c r="F25" s="123"/>
      <c r="G25" s="123"/>
      <c r="H25" s="124"/>
      <c r="I25" s="12"/>
      <c r="J25" s="13"/>
      <c r="K25" s="12"/>
      <c r="L25" s="12"/>
      <c r="M25" s="12"/>
      <c r="N25" s="74" t="s">
        <v>60</v>
      </c>
      <c r="O25" s="74"/>
      <c r="P25" s="74"/>
      <c r="Q25" s="74"/>
      <c r="R25" s="74"/>
      <c r="S25" s="74"/>
      <c r="T25" s="74"/>
      <c r="U25" s="74" t="s">
        <v>79</v>
      </c>
      <c r="V25" s="75"/>
      <c r="W25" s="75"/>
      <c r="X25" s="75"/>
      <c r="Y25" s="76"/>
      <c r="Z25" s="76"/>
      <c r="AA25" s="76"/>
      <c r="AB25" s="76" t="s">
        <v>20</v>
      </c>
      <c r="AC25" s="76"/>
      <c r="AD25" s="77"/>
      <c r="AE25" s="77"/>
      <c r="AF25" s="77"/>
      <c r="AG25" s="77"/>
      <c r="AH25" s="77" t="s">
        <v>0</v>
      </c>
      <c r="AI25" s="77"/>
      <c r="AJ25" s="77"/>
      <c r="AK25" s="77" t="s">
        <v>73</v>
      </c>
      <c r="AL25" s="77"/>
      <c r="AM25" s="77"/>
      <c r="AN25" s="97" t="s">
        <v>56</v>
      </c>
    </row>
    <row r="26" spans="1:68" ht="17" thickBot="1" x14ac:dyDescent="0.25">
      <c r="A26" s="52" t="s">
        <v>77</v>
      </c>
      <c r="B26" s="56"/>
      <c r="C26" s="56"/>
      <c r="D26" s="56"/>
      <c r="E26" s="118"/>
      <c r="F26" s="127"/>
      <c r="G26" s="127"/>
      <c r="H26" s="128"/>
      <c r="I26" s="53"/>
      <c r="J26" s="58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4"/>
      <c r="V26" s="54"/>
      <c r="W26" s="54"/>
      <c r="X26" s="54"/>
      <c r="Y26" s="55"/>
      <c r="Z26" s="55"/>
      <c r="AA26" s="55"/>
      <c r="AB26" s="55" t="s">
        <v>20</v>
      </c>
      <c r="AC26" s="55"/>
      <c r="AD26" s="56"/>
      <c r="AE26" s="56"/>
      <c r="AF26" s="56"/>
      <c r="AG26" s="56"/>
      <c r="AH26" s="56" t="s">
        <v>0</v>
      </c>
      <c r="AI26" s="56"/>
      <c r="AJ26" s="56"/>
      <c r="AK26" s="56" t="s">
        <v>73</v>
      </c>
      <c r="AL26" s="125"/>
      <c r="AM26" s="125"/>
      <c r="AN26" s="97"/>
    </row>
    <row r="27" spans="1:68" ht="48" x14ac:dyDescent="0.2">
      <c r="A27" s="100"/>
      <c r="B27" s="101"/>
      <c r="C27" s="101"/>
      <c r="D27" s="112" t="s">
        <v>143</v>
      </c>
      <c r="E27" s="130" t="s">
        <v>130</v>
      </c>
      <c r="F27" s="131" t="s">
        <v>135</v>
      </c>
      <c r="G27" s="131" t="s">
        <v>136</v>
      </c>
      <c r="H27" s="131" t="s">
        <v>137</v>
      </c>
      <c r="I27" s="12"/>
      <c r="J27" s="1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7"/>
      <c r="V27" s="17"/>
      <c r="W27" s="17"/>
      <c r="X27" s="17"/>
      <c r="Y27" s="119"/>
      <c r="Z27" s="119"/>
      <c r="AA27" s="119"/>
      <c r="AB27" s="119"/>
      <c r="AC27" s="119"/>
      <c r="AD27" s="5"/>
      <c r="AE27" s="5"/>
      <c r="AF27" s="5"/>
      <c r="AG27" s="5"/>
      <c r="AH27" s="15"/>
      <c r="AI27" s="5"/>
      <c r="AJ27" s="5"/>
    </row>
    <row r="28" spans="1:68" s="4" customFormat="1" ht="12" customHeight="1" thickBot="1" x14ac:dyDescent="0.25">
      <c r="A28" s="12" t="s">
        <v>65</v>
      </c>
      <c r="B28" s="12"/>
      <c r="C28" s="12"/>
      <c r="D28" s="7" t="s">
        <v>128</v>
      </c>
      <c r="E28" s="113"/>
      <c r="F28" s="113"/>
      <c r="G28" s="113"/>
      <c r="H28" s="113"/>
      <c r="I28" s="12"/>
      <c r="J28" s="12"/>
      <c r="K28" s="12"/>
      <c r="L28" s="12"/>
      <c r="M28" s="12"/>
      <c r="N28" s="68" t="s">
        <v>60</v>
      </c>
      <c r="O28" s="68"/>
      <c r="P28" s="68"/>
      <c r="Q28" s="68"/>
      <c r="R28" s="68"/>
      <c r="S28" s="68"/>
      <c r="T28" s="69"/>
      <c r="U28" s="70"/>
      <c r="V28" s="71"/>
      <c r="W28" s="71"/>
      <c r="X28" s="71"/>
      <c r="Y28" s="72"/>
      <c r="Z28" s="72"/>
      <c r="AA28" s="72" t="s">
        <v>163</v>
      </c>
      <c r="AB28" s="72" t="s">
        <v>164</v>
      </c>
      <c r="AC28" s="72" t="s">
        <v>71</v>
      </c>
      <c r="AD28" s="73" t="s">
        <v>71</v>
      </c>
      <c r="AE28" s="73" t="s">
        <v>71</v>
      </c>
      <c r="AF28" s="73" t="s">
        <v>165</v>
      </c>
      <c r="AG28" s="73" t="s">
        <v>20</v>
      </c>
      <c r="AH28" s="72"/>
      <c r="AI28" s="73" t="s">
        <v>73</v>
      </c>
      <c r="AJ28" s="73"/>
      <c r="AK28" s="73"/>
      <c r="AL28" s="73"/>
      <c r="AM28" s="97" t="s">
        <v>56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1:68" x14ac:dyDescent="0.2">
      <c r="A29" s="100" t="s">
        <v>67</v>
      </c>
      <c r="B29" s="101"/>
      <c r="C29" s="101"/>
      <c r="D29" s="91" t="s">
        <v>129</v>
      </c>
      <c r="E29" s="101">
        <v>1390</v>
      </c>
      <c r="F29" s="132">
        <f>SUM(E29)/40</f>
        <v>34.75</v>
      </c>
      <c r="G29" s="132"/>
      <c r="H29" s="134"/>
      <c r="I29" s="12"/>
      <c r="J29" s="1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7"/>
      <c r="V29" s="16"/>
      <c r="W29" s="16"/>
      <c r="X29" s="16"/>
    </row>
    <row r="30" spans="1:68" s="4" customFormat="1" ht="12" customHeight="1" x14ac:dyDescent="0.2">
      <c r="A30" s="102" t="s">
        <v>68</v>
      </c>
      <c r="B30" s="12"/>
      <c r="C30" s="12"/>
      <c r="D30" s="12" t="s">
        <v>149</v>
      </c>
      <c r="E30" s="12"/>
      <c r="F30" s="12"/>
      <c r="G30" s="12"/>
      <c r="H30" s="103"/>
      <c r="I30" s="12"/>
      <c r="J30" s="12"/>
      <c r="K30" s="12"/>
      <c r="L30" s="12"/>
      <c r="M30" s="12"/>
      <c r="N30" s="12"/>
      <c r="O30" s="12"/>
      <c r="P30" s="12"/>
      <c r="Q30" s="14"/>
      <c r="R30" s="14"/>
      <c r="S30" s="14"/>
      <c r="T30" s="19"/>
      <c r="U30" s="29"/>
      <c r="V30" s="30"/>
      <c r="W30" s="30"/>
      <c r="X30" s="30"/>
      <c r="Y30" s="43"/>
      <c r="Z30" s="43"/>
      <c r="AA30" s="43"/>
      <c r="AB30" s="43"/>
      <c r="AC30" s="43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 t="s">
        <v>18</v>
      </c>
      <c r="AS30" s="2" t="s">
        <v>18</v>
      </c>
      <c r="AT30" s="2" t="s">
        <v>18</v>
      </c>
      <c r="AU30" s="31" t="s">
        <v>55</v>
      </c>
      <c r="AV30" s="31" t="s">
        <v>55</v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spans="1:68" s="4" customFormat="1" ht="12" customHeight="1" x14ac:dyDescent="0.2">
      <c r="A31" s="102" t="s">
        <v>69</v>
      </c>
      <c r="B31" s="12"/>
      <c r="C31" s="12"/>
      <c r="D31" s="12"/>
      <c r="E31" s="12"/>
      <c r="F31" s="12"/>
      <c r="G31" s="12"/>
      <c r="H31" s="103"/>
      <c r="I31" s="12"/>
      <c r="J31" s="12"/>
      <c r="K31" s="12"/>
      <c r="L31" s="12"/>
      <c r="M31" s="12"/>
      <c r="N31" s="12"/>
      <c r="O31" s="12"/>
      <c r="P31" s="12"/>
      <c r="Q31" s="14"/>
      <c r="R31" s="14"/>
      <c r="S31" s="14"/>
      <c r="T31" s="19"/>
      <c r="U31" s="29"/>
      <c r="V31" s="30"/>
      <c r="W31" s="30"/>
      <c r="X31" s="30"/>
      <c r="Y31" s="43"/>
      <c r="Z31" s="43"/>
      <c r="AA31" s="43"/>
      <c r="AB31" s="43"/>
      <c r="AC31" s="4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 t="s">
        <v>18</v>
      </c>
      <c r="AS31" s="2" t="s">
        <v>18</v>
      </c>
      <c r="AT31" s="2" t="s">
        <v>18</v>
      </c>
      <c r="AU31" s="31" t="s">
        <v>55</v>
      </c>
      <c r="AV31" s="31" t="s">
        <v>55</v>
      </c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spans="1:68" s="4" customFormat="1" ht="12" customHeight="1" x14ac:dyDescent="0.2">
      <c r="A32" s="102" t="s">
        <v>169</v>
      </c>
      <c r="B32" s="12"/>
      <c r="C32" s="12"/>
      <c r="D32" s="12"/>
      <c r="E32" s="12"/>
      <c r="F32" s="12"/>
      <c r="G32" s="12"/>
      <c r="H32" s="103"/>
      <c r="I32" s="12"/>
      <c r="J32" s="12"/>
      <c r="K32" s="12"/>
      <c r="L32" s="12"/>
      <c r="M32" s="12"/>
      <c r="N32" s="12"/>
      <c r="O32" s="12"/>
      <c r="P32" s="12"/>
      <c r="Q32" s="14"/>
      <c r="R32" s="14"/>
      <c r="S32" s="14"/>
      <c r="T32" s="19"/>
      <c r="U32" s="29"/>
      <c r="V32" s="30"/>
      <c r="W32" s="30"/>
      <c r="X32" s="30"/>
      <c r="Y32" s="43"/>
      <c r="Z32" s="43"/>
      <c r="AA32" s="43"/>
      <c r="AB32" s="43"/>
      <c r="AC32" s="4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31"/>
      <c r="AV32" s="3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spans="1:68" ht="16" x14ac:dyDescent="0.2">
      <c r="A33" s="102" t="s">
        <v>70</v>
      </c>
      <c r="B33" s="5"/>
      <c r="C33" s="5"/>
      <c r="D33" s="5"/>
      <c r="E33" s="12"/>
      <c r="F33" s="20"/>
      <c r="G33" s="20"/>
      <c r="H33" s="133"/>
      <c r="I33" s="12"/>
      <c r="J33" s="13"/>
      <c r="K33" s="12"/>
      <c r="L33" s="12"/>
      <c r="M33" s="12"/>
      <c r="N33" s="12"/>
      <c r="O33" s="12"/>
      <c r="P33" s="12"/>
      <c r="Q33" s="14"/>
      <c r="R33" s="14"/>
      <c r="S33" s="14"/>
      <c r="T33" s="14"/>
      <c r="U33" s="29"/>
      <c r="V33" s="30"/>
      <c r="W33" s="30"/>
      <c r="X33" s="30"/>
      <c r="Y33" s="43"/>
      <c r="Z33" s="43"/>
      <c r="AA33" s="43"/>
      <c r="AB33" s="43"/>
      <c r="AC33" s="43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 t="s">
        <v>18</v>
      </c>
      <c r="AS33" s="2" t="s">
        <v>18</v>
      </c>
      <c r="AT33" s="2" t="s">
        <v>18</v>
      </c>
      <c r="AU33" s="31" t="s">
        <v>55</v>
      </c>
      <c r="AV33" s="31" t="s">
        <v>55</v>
      </c>
    </row>
    <row r="34" spans="1:68" x14ac:dyDescent="0.2">
      <c r="A34" s="102" t="s">
        <v>170</v>
      </c>
      <c r="B34" s="5"/>
      <c r="C34" s="5"/>
      <c r="D34" s="5"/>
      <c r="E34" s="12"/>
      <c r="F34" s="20"/>
      <c r="G34" s="20"/>
      <c r="H34" s="133"/>
      <c r="I34" s="12"/>
      <c r="J34" s="13"/>
      <c r="K34" s="12"/>
      <c r="L34" s="12"/>
      <c r="M34" s="12"/>
      <c r="N34" s="12"/>
      <c r="O34" s="12"/>
      <c r="P34" s="12"/>
      <c r="Q34" s="14"/>
      <c r="R34" s="14"/>
      <c r="S34" s="14"/>
      <c r="T34" s="14"/>
      <c r="U34" s="29"/>
      <c r="V34" s="30"/>
      <c r="W34" s="30"/>
      <c r="X34" s="30"/>
      <c r="Y34" s="43"/>
      <c r="Z34" s="43"/>
      <c r="AA34" s="43"/>
      <c r="AB34" s="43"/>
      <c r="AC34" s="43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31"/>
      <c r="AV34" s="31"/>
    </row>
    <row r="35" spans="1:68" x14ac:dyDescent="0.2">
      <c r="A35" s="102" t="s">
        <v>171</v>
      </c>
      <c r="B35" s="5"/>
      <c r="C35" s="5"/>
      <c r="D35" s="5"/>
      <c r="E35" s="12"/>
      <c r="F35" s="20"/>
      <c r="G35" s="20"/>
      <c r="H35" s="133"/>
      <c r="I35" s="12"/>
      <c r="J35" s="13"/>
      <c r="K35" s="12"/>
      <c r="L35" s="12"/>
      <c r="M35" s="12"/>
      <c r="N35" s="12"/>
      <c r="O35" s="12"/>
      <c r="P35" s="12"/>
      <c r="Q35" s="14"/>
      <c r="R35" s="14"/>
      <c r="S35" s="14"/>
      <c r="T35" s="14"/>
      <c r="U35" s="29"/>
      <c r="V35" s="30"/>
      <c r="W35" s="30"/>
      <c r="X35" s="30"/>
      <c r="Y35" s="43"/>
      <c r="Z35" s="43"/>
      <c r="AA35" s="43"/>
      <c r="AB35" s="43"/>
      <c r="AC35" s="4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31"/>
      <c r="AV35" s="31"/>
    </row>
    <row r="36" spans="1:68" x14ac:dyDescent="0.2">
      <c r="A36" s="102" t="s">
        <v>172</v>
      </c>
      <c r="B36" s="5"/>
      <c r="C36" s="5"/>
      <c r="D36" s="5"/>
      <c r="E36" s="12"/>
      <c r="F36" s="20"/>
      <c r="G36" s="20"/>
      <c r="H36" s="133"/>
      <c r="I36" s="12"/>
      <c r="J36" s="13"/>
      <c r="K36" s="12"/>
      <c r="L36" s="12"/>
      <c r="M36" s="12"/>
      <c r="N36" s="12"/>
      <c r="O36" s="12"/>
      <c r="P36" s="12"/>
      <c r="Q36" s="14"/>
      <c r="R36" s="14"/>
      <c r="S36" s="14"/>
      <c r="T36" s="14"/>
      <c r="U36" s="29"/>
      <c r="V36" s="30"/>
      <c r="W36" s="30"/>
      <c r="X36" s="30"/>
      <c r="Y36" s="43"/>
      <c r="Z36" s="43"/>
      <c r="AA36" s="43"/>
      <c r="AB36" s="43"/>
      <c r="AC36" s="4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31"/>
      <c r="AV36" s="31"/>
    </row>
    <row r="37" spans="1:68" ht="17" thickBot="1" x14ac:dyDescent="0.25">
      <c r="A37" s="102" t="s">
        <v>153</v>
      </c>
      <c r="B37" s="5"/>
      <c r="C37" s="5"/>
      <c r="D37" s="5"/>
      <c r="E37" s="12"/>
      <c r="F37" s="20"/>
      <c r="G37" s="20"/>
      <c r="H37" s="133"/>
      <c r="I37" s="12"/>
      <c r="J37" s="13"/>
      <c r="K37" s="12"/>
      <c r="L37" s="12"/>
      <c r="M37" s="12"/>
      <c r="N37" s="12"/>
      <c r="O37" s="12"/>
      <c r="P37" s="12"/>
      <c r="Q37" s="14"/>
      <c r="R37" s="14"/>
      <c r="S37" s="14"/>
      <c r="T37" s="14"/>
      <c r="U37" s="29"/>
      <c r="V37" s="30"/>
      <c r="W37" s="30"/>
      <c r="X37" s="30"/>
      <c r="Y37" s="43"/>
      <c r="Z37" s="43"/>
      <c r="AA37" s="43"/>
      <c r="AB37" s="43"/>
      <c r="AC37" s="4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 t="s">
        <v>18</v>
      </c>
      <c r="AS37" s="2" t="s">
        <v>18</v>
      </c>
      <c r="AT37" s="2" t="s">
        <v>18</v>
      </c>
      <c r="AU37" s="31" t="s">
        <v>55</v>
      </c>
      <c r="AV37" s="31" t="s">
        <v>55</v>
      </c>
    </row>
    <row r="38" spans="1:68" x14ac:dyDescent="0.2">
      <c r="A38" s="90" t="s">
        <v>156</v>
      </c>
      <c r="B38" s="91"/>
      <c r="C38" s="91"/>
      <c r="D38" s="91" t="s">
        <v>161</v>
      </c>
      <c r="E38" s="91">
        <v>24571</v>
      </c>
      <c r="F38" s="132">
        <f>SUM(E38)/40</f>
        <v>614.27499999999998</v>
      </c>
      <c r="G38" s="136">
        <f>SUM(F38)/10</f>
        <v>61.427499999999995</v>
      </c>
      <c r="H38" s="92">
        <v>10</v>
      </c>
      <c r="I38" s="12"/>
      <c r="J38" s="23" t="s">
        <v>151</v>
      </c>
      <c r="K38" s="23"/>
      <c r="L38" s="23"/>
      <c r="M38" s="23"/>
      <c r="N38" s="23"/>
      <c r="O38" s="23"/>
      <c r="P38" s="34"/>
      <c r="Q38" s="23"/>
      <c r="R38" s="23"/>
      <c r="S38" s="23"/>
      <c r="T38" s="23"/>
      <c r="U38" s="27"/>
      <c r="V38" s="28"/>
      <c r="W38" s="28"/>
      <c r="X38" s="28"/>
      <c r="Y38" s="35"/>
      <c r="Z38" s="35"/>
      <c r="AA38" s="35"/>
      <c r="AB38" s="35"/>
      <c r="AC38" s="35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68" ht="16" thickBot="1" x14ac:dyDescent="0.25">
      <c r="A39" s="93" t="s">
        <v>64</v>
      </c>
      <c r="B39" s="94"/>
      <c r="C39" s="94"/>
      <c r="D39" s="94"/>
      <c r="E39" s="12"/>
      <c r="F39" s="12"/>
      <c r="G39" s="12"/>
      <c r="H39" s="103"/>
      <c r="I39" s="12"/>
      <c r="J39" s="12"/>
      <c r="K39" s="12"/>
      <c r="L39" s="12"/>
      <c r="M39" s="12"/>
      <c r="S39" s="24" t="s">
        <v>152</v>
      </c>
      <c r="T39" s="24"/>
      <c r="U39" s="88"/>
      <c r="V39" s="24"/>
      <c r="W39" s="24"/>
      <c r="X39" s="24"/>
      <c r="Y39" s="24"/>
      <c r="Z39" s="89"/>
      <c r="AA39" s="147"/>
      <c r="AB39" s="147"/>
      <c r="AC39" s="147"/>
      <c r="AD39" s="148"/>
      <c r="AE39" s="148"/>
      <c r="AF39" s="148"/>
    </row>
    <row r="40" spans="1:68" s="4" customFormat="1" ht="12" customHeight="1" x14ac:dyDescent="0.2">
      <c r="A40" s="12" t="s">
        <v>166</v>
      </c>
      <c r="B40" s="12"/>
      <c r="C40" s="12"/>
      <c r="D40" s="12"/>
      <c r="E40" s="113" t="s">
        <v>123</v>
      </c>
      <c r="F40" s="113"/>
      <c r="G40" s="113"/>
      <c r="H40" s="113"/>
      <c r="I40" s="12"/>
      <c r="J40" s="141"/>
      <c r="K40" s="141"/>
      <c r="L40" s="141"/>
      <c r="M40" s="141" t="s">
        <v>154</v>
      </c>
      <c r="N40" s="141"/>
      <c r="O40" s="141"/>
      <c r="P40" s="141"/>
      <c r="Q40" s="141"/>
      <c r="R40" s="141"/>
      <c r="S40" s="141"/>
      <c r="T40" s="142"/>
      <c r="U40" s="143"/>
      <c r="V40" s="144"/>
      <c r="W40" s="144"/>
      <c r="X40" s="144"/>
      <c r="Y40" s="145"/>
      <c r="Z40" s="145"/>
      <c r="AA40" s="145"/>
      <c r="AB40" s="145"/>
      <c r="AC40" s="145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31" t="s">
        <v>55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spans="1:68" ht="16" x14ac:dyDescent="0.2">
      <c r="A41" s="12" t="s">
        <v>157</v>
      </c>
      <c r="B41" s="5"/>
      <c r="C41" s="5"/>
      <c r="D41" s="5"/>
      <c r="E41" s="113">
        <v>700</v>
      </c>
      <c r="F41" s="129">
        <f>SUM(E41)/40</f>
        <v>17.5</v>
      </c>
      <c r="G41" s="137">
        <f>SUM(F41)/2</f>
        <v>8.75</v>
      </c>
      <c r="H41" s="135">
        <v>2</v>
      </c>
      <c r="I41" s="86"/>
      <c r="J41" s="8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7"/>
      <c r="V41" s="16"/>
      <c r="W41" s="16"/>
      <c r="X41" s="16"/>
      <c r="Y41" s="151" t="s">
        <v>66</v>
      </c>
      <c r="Z41" s="96"/>
      <c r="AA41" s="96"/>
      <c r="AB41" s="96"/>
      <c r="AC41" s="96"/>
      <c r="AD41" s="149"/>
      <c r="AE41" s="149"/>
      <c r="AF41" s="149"/>
      <c r="AG41" s="149"/>
      <c r="AH41" s="149"/>
      <c r="AI41" s="150" t="s">
        <v>80</v>
      </c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31" t="s">
        <v>55</v>
      </c>
    </row>
    <row r="42" spans="1:68" x14ac:dyDescent="0.2">
      <c r="A42" s="12" t="s">
        <v>158</v>
      </c>
      <c r="B42" s="12"/>
      <c r="C42" s="12"/>
      <c r="D42" s="12" t="s">
        <v>150</v>
      </c>
      <c r="E42" s="113">
        <v>1800</v>
      </c>
      <c r="F42" s="129">
        <f>SUM(E42)/40</f>
        <v>45</v>
      </c>
      <c r="G42" s="113">
        <v>45</v>
      </c>
      <c r="H42" s="113">
        <v>1</v>
      </c>
      <c r="I42" s="12"/>
      <c r="J42" s="12"/>
      <c r="K42" s="12"/>
      <c r="L42" s="12"/>
      <c r="M42" s="12"/>
      <c r="N42" s="13"/>
      <c r="O42" s="13"/>
      <c r="P42" s="12"/>
      <c r="Q42" s="12"/>
      <c r="R42" s="12"/>
      <c r="S42" s="12"/>
      <c r="T42" s="12"/>
      <c r="U42" s="17"/>
      <c r="V42" s="16"/>
      <c r="W42" s="16"/>
      <c r="X42" s="16"/>
    </row>
    <row r="43" spans="1:68" x14ac:dyDescent="0.2">
      <c r="A43" s="152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4"/>
      <c r="U43" s="155"/>
      <c r="V43" s="156"/>
      <c r="W43" s="156"/>
      <c r="X43" s="156"/>
      <c r="Y43" s="157"/>
      <c r="Z43" s="157"/>
      <c r="AA43" s="157"/>
      <c r="AB43" s="157"/>
      <c r="AC43" s="157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</row>
    <row r="44" spans="1:68" x14ac:dyDescent="0.2">
      <c r="B44" s="5"/>
      <c r="C44" s="5"/>
      <c r="D44" s="5"/>
      <c r="E44" s="5"/>
      <c r="F44" s="20"/>
      <c r="G44" s="20"/>
      <c r="H44" s="12"/>
      <c r="I44" s="12"/>
      <c r="J44" s="12"/>
      <c r="K44" s="13"/>
      <c r="L44" s="13"/>
      <c r="M44" s="13"/>
      <c r="N44" s="13"/>
      <c r="O44" s="12"/>
      <c r="P44" s="12"/>
      <c r="Q44" s="12"/>
      <c r="R44" s="12"/>
      <c r="S44" s="12"/>
      <c r="T44" s="12"/>
      <c r="U44" s="17"/>
      <c r="V44" s="16"/>
      <c r="W44" s="16"/>
      <c r="X44" s="16"/>
    </row>
    <row r="45" spans="1:68" x14ac:dyDescent="0.2">
      <c r="A45" s="5"/>
      <c r="B45" s="5"/>
      <c r="C45" s="5"/>
      <c r="D45" s="5"/>
      <c r="E45" s="5"/>
      <c r="F45" s="20"/>
      <c r="G45" s="20"/>
      <c r="H45" s="12"/>
      <c r="I45" s="12"/>
      <c r="J45" s="12"/>
      <c r="K45" s="12"/>
      <c r="L45" s="13"/>
      <c r="M45" s="12"/>
      <c r="N45" s="13"/>
      <c r="O45" s="12"/>
      <c r="P45" s="12"/>
      <c r="Q45" s="12"/>
      <c r="R45" s="12"/>
      <c r="S45" s="12"/>
      <c r="T45" s="12"/>
      <c r="U45" s="17"/>
      <c r="V45" s="16"/>
      <c r="W45" s="16"/>
      <c r="X45" s="16"/>
    </row>
    <row r="46" spans="1:68" x14ac:dyDescent="0.2">
      <c r="A46" s="140" t="s">
        <v>99</v>
      </c>
      <c r="D46" s="98" t="s">
        <v>125</v>
      </c>
      <c r="E46" s="5"/>
      <c r="F46" s="5"/>
      <c r="G46" s="20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21"/>
      <c r="S46" s="12"/>
      <c r="T46" s="12"/>
      <c r="U46" s="17"/>
      <c r="V46" s="16"/>
      <c r="W46" s="16"/>
      <c r="X46" s="16"/>
    </row>
    <row r="47" spans="1:68" x14ac:dyDescent="0.2">
      <c r="A47" s="7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7"/>
      <c r="V47" s="17"/>
      <c r="W47" s="16"/>
      <c r="X47" s="16"/>
    </row>
    <row r="48" spans="1:68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2"/>
      <c r="R48" s="13"/>
      <c r="S48" s="12"/>
      <c r="T48" s="12"/>
      <c r="U48" s="17"/>
      <c r="V48" s="17"/>
      <c r="W48" s="16"/>
      <c r="X48" s="16"/>
    </row>
    <row r="49" spans="1:68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2"/>
      <c r="R49" s="13"/>
      <c r="S49" s="12"/>
      <c r="T49" s="12"/>
      <c r="U49" s="17"/>
      <c r="V49" s="17"/>
      <c r="W49" s="16"/>
      <c r="X49" s="16"/>
    </row>
    <row r="50" spans="1:68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2"/>
      <c r="Q50" s="12"/>
      <c r="R50" s="12"/>
      <c r="S50" s="12"/>
      <c r="T50" s="12"/>
      <c r="U50" s="17"/>
      <c r="V50" s="17"/>
      <c r="W50" s="16"/>
      <c r="X50" s="16"/>
    </row>
    <row r="51" spans="1:68" x14ac:dyDescent="0.2">
      <c r="A51" s="12"/>
      <c r="B51" s="12"/>
      <c r="C51" s="12"/>
      <c r="D51" s="12"/>
      <c r="E51" s="12"/>
      <c r="F51" s="12"/>
      <c r="G51" s="12"/>
      <c r="H51" s="12"/>
      <c r="I51" s="12"/>
      <c r="J51" s="5"/>
      <c r="K51" s="5"/>
      <c r="L51" s="5"/>
      <c r="M51" s="5"/>
      <c r="N51" s="12"/>
      <c r="O51" s="12"/>
      <c r="P51" s="12"/>
      <c r="Q51" s="12"/>
      <c r="R51" s="12"/>
      <c r="S51" s="12"/>
      <c r="T51" s="12"/>
      <c r="U51" s="17"/>
      <c r="V51" s="17"/>
      <c r="W51" s="16"/>
      <c r="X51" s="16"/>
    </row>
    <row r="52" spans="1:68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3"/>
      <c r="K52" s="13"/>
      <c r="L52" s="12"/>
      <c r="M52" s="13"/>
      <c r="N52" s="12"/>
      <c r="O52" s="12"/>
      <c r="P52" s="12"/>
      <c r="Q52" s="12"/>
      <c r="R52" s="12"/>
      <c r="S52" s="12"/>
      <c r="T52" s="12"/>
      <c r="U52" s="17"/>
      <c r="V52" s="17"/>
      <c r="W52" s="16"/>
      <c r="X52" s="16"/>
    </row>
    <row r="53" spans="1:68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3"/>
      <c r="K53" s="12"/>
      <c r="L53" s="12"/>
      <c r="M53" s="13"/>
      <c r="N53" s="12"/>
      <c r="O53" s="5"/>
      <c r="P53" s="5"/>
      <c r="Q53" s="5"/>
      <c r="R53" s="12"/>
      <c r="S53" s="12"/>
      <c r="T53" s="12"/>
      <c r="U53" s="17"/>
      <c r="V53" s="17"/>
      <c r="W53" s="16"/>
      <c r="X53" s="16"/>
    </row>
    <row r="54" spans="1:68" x14ac:dyDescent="0.2">
      <c r="A54" s="7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7"/>
      <c r="V54" s="17"/>
      <c r="W54" s="16"/>
      <c r="X54" s="16"/>
    </row>
    <row r="55" spans="1:68" hidden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7"/>
      <c r="V55" s="17"/>
      <c r="W55" s="16"/>
      <c r="X55" s="16"/>
    </row>
    <row r="56" spans="1:68" hidden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7"/>
      <c r="V56" s="17"/>
      <c r="W56" s="16"/>
      <c r="X56" s="16"/>
    </row>
    <row r="57" spans="1:68" hidden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7"/>
      <c r="V57" s="17"/>
      <c r="W57" s="16"/>
      <c r="X57" s="16"/>
    </row>
    <row r="58" spans="1:68" hidden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7"/>
      <c r="V58" s="17"/>
      <c r="W58" s="16"/>
      <c r="X58" s="16"/>
    </row>
    <row r="59" spans="1:68" ht="2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22"/>
      <c r="V59" s="22"/>
    </row>
    <row r="60" spans="1:68" ht="2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22"/>
      <c r="V60" s="22"/>
    </row>
    <row r="61" spans="1:68" ht="2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22"/>
      <c r="V61" s="22"/>
    </row>
    <row r="62" spans="1:68" ht="2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22"/>
      <c r="V62" s="22"/>
    </row>
    <row r="63" spans="1:68" s="1" customFormat="1" ht="2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22"/>
      <c r="V63" s="22"/>
      <c r="W63" s="15"/>
      <c r="X63" s="15"/>
      <c r="Y63" s="15"/>
      <c r="Z63" s="15"/>
      <c r="AA63" s="15"/>
      <c r="AB63" s="15"/>
      <c r="AC63" s="15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D9"/>
  <sheetViews>
    <sheetView workbookViewId="0">
      <selection activeCell="C6" sqref="C6:D9"/>
    </sheetView>
  </sheetViews>
  <sheetFormatPr baseColWidth="10" defaultColWidth="8.83203125" defaultRowHeight="15" x14ac:dyDescent="0.2"/>
  <cols>
    <col min="3" max="3" width="62.6640625" style="177" customWidth="1"/>
    <col min="4" max="4" width="42.6640625" customWidth="1"/>
  </cols>
  <sheetData>
    <row r="6" spans="3:4" ht="16" x14ac:dyDescent="0.2">
      <c r="C6" s="10" t="s">
        <v>7</v>
      </c>
      <c r="D6" s="10" t="s">
        <v>6</v>
      </c>
    </row>
    <row r="7" spans="3:4" ht="16" x14ac:dyDescent="0.2">
      <c r="C7" s="176" t="s">
        <v>178</v>
      </c>
      <c r="D7" s="114" t="s">
        <v>179</v>
      </c>
    </row>
    <row r="8" spans="3:4" ht="16" x14ac:dyDescent="0.2">
      <c r="C8" s="176" t="s">
        <v>183</v>
      </c>
      <c r="D8" s="114" t="s">
        <v>180</v>
      </c>
    </row>
    <row r="9" spans="3:4" ht="32" x14ac:dyDescent="0.2">
      <c r="C9" s="176" t="s">
        <v>184</v>
      </c>
      <c r="D9" s="114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"/>
  <sheetViews>
    <sheetView workbookViewId="0">
      <selection activeCell="D2" sqref="D2"/>
    </sheetView>
  </sheetViews>
  <sheetFormatPr baseColWidth="10" defaultColWidth="8.83203125" defaultRowHeight="15" x14ac:dyDescent="0.2"/>
  <sheetData>
    <row r="1" spans="4:4" x14ac:dyDescent="0.2">
      <c r="D1" t="s">
        <v>182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D7"/>
  <sheetViews>
    <sheetView workbookViewId="0">
      <selection activeCell="D9" sqref="D9"/>
    </sheetView>
  </sheetViews>
  <sheetFormatPr baseColWidth="10" defaultColWidth="8.83203125" defaultRowHeight="15" x14ac:dyDescent="0.2"/>
  <sheetData>
    <row r="5" spans="4:4" x14ac:dyDescent="0.2">
      <c r="D5" t="s">
        <v>176</v>
      </c>
    </row>
    <row r="7" spans="4:4" x14ac:dyDescent="0.2">
      <c r="D7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1:AA56"/>
  <sheetViews>
    <sheetView tabSelected="1" workbookViewId="0">
      <selection activeCell="E33" sqref="E33"/>
    </sheetView>
  </sheetViews>
  <sheetFormatPr baseColWidth="10" defaultColWidth="8.83203125" defaultRowHeight="15" x14ac:dyDescent="0.2"/>
  <cols>
    <col min="8" max="8" width="37.33203125" customWidth="1"/>
  </cols>
  <sheetData>
    <row r="1" spans="5:27" ht="57" customHeight="1" x14ac:dyDescent="0.35">
      <c r="E1" s="184" t="s">
        <v>225</v>
      </c>
      <c r="F1" s="184"/>
      <c r="G1" s="184"/>
      <c r="H1" s="184"/>
      <c r="T1" s="184" t="s">
        <v>224</v>
      </c>
      <c r="U1" s="184"/>
      <c r="V1" s="184"/>
      <c r="W1" s="184"/>
      <c r="X1" s="184"/>
      <c r="Y1" s="184"/>
      <c r="Z1" s="184"/>
      <c r="AA1" s="184"/>
    </row>
    <row r="2" spans="5:27" ht="24" x14ac:dyDescent="0.3">
      <c r="E2" s="183">
        <v>44184</v>
      </c>
      <c r="F2" s="183"/>
      <c r="G2" s="183"/>
      <c r="H2" s="183"/>
      <c r="I2" s="183"/>
      <c r="J2" s="183"/>
      <c r="K2" s="183"/>
      <c r="L2" s="183"/>
      <c r="T2" s="183">
        <v>44184</v>
      </c>
      <c r="U2" s="183"/>
      <c r="V2" s="183"/>
      <c r="W2" s="183"/>
      <c r="X2" s="183"/>
      <c r="Y2" s="183"/>
      <c r="Z2" s="183"/>
      <c r="AA2" s="183"/>
    </row>
    <row r="3" spans="5:27" ht="16" x14ac:dyDescent="0.2">
      <c r="T3" s="179" t="s">
        <v>185</v>
      </c>
    </row>
    <row r="4" spans="5:27" ht="16" x14ac:dyDescent="0.2">
      <c r="E4" s="80" t="s">
        <v>82</v>
      </c>
      <c r="I4" s="178"/>
      <c r="T4" s="180" t="s">
        <v>186</v>
      </c>
    </row>
    <row r="5" spans="5:27" ht="16" x14ac:dyDescent="0.2">
      <c r="E5" s="81" t="s">
        <v>83</v>
      </c>
      <c r="I5" s="179"/>
      <c r="T5" s="181" t="s">
        <v>187</v>
      </c>
    </row>
    <row r="6" spans="5:27" ht="16" x14ac:dyDescent="0.2">
      <c r="E6" s="82" t="s">
        <v>84</v>
      </c>
      <c r="T6" s="180" t="s">
        <v>188</v>
      </c>
    </row>
    <row r="7" spans="5:27" ht="16" x14ac:dyDescent="0.2">
      <c r="E7" s="82" t="s">
        <v>85</v>
      </c>
      <c r="T7" s="179" t="s">
        <v>189</v>
      </c>
    </row>
    <row r="8" spans="5:27" ht="16" x14ac:dyDescent="0.2">
      <c r="E8" s="82" t="s">
        <v>86</v>
      </c>
      <c r="T8" s="180" t="s">
        <v>190</v>
      </c>
    </row>
    <row r="9" spans="5:27" ht="16" x14ac:dyDescent="0.2">
      <c r="E9" s="82" t="s">
        <v>87</v>
      </c>
      <c r="T9" s="180" t="s">
        <v>191</v>
      </c>
    </row>
    <row r="10" spans="5:27" ht="16" x14ac:dyDescent="0.2">
      <c r="E10" s="82" t="s">
        <v>88</v>
      </c>
      <c r="T10" s="180" t="s">
        <v>192</v>
      </c>
    </row>
    <row r="11" spans="5:27" ht="16" x14ac:dyDescent="0.2">
      <c r="E11" s="81" t="s">
        <v>89</v>
      </c>
      <c r="T11" s="180" t="s">
        <v>188</v>
      </c>
    </row>
    <row r="12" spans="5:27" ht="16" x14ac:dyDescent="0.2">
      <c r="E12" s="82" t="s">
        <v>90</v>
      </c>
      <c r="T12" s="179" t="s">
        <v>193</v>
      </c>
    </row>
    <row r="13" spans="5:27" ht="16" x14ac:dyDescent="0.2">
      <c r="E13" s="82" t="s">
        <v>91</v>
      </c>
      <c r="T13" s="180" t="s">
        <v>194</v>
      </c>
    </row>
    <row r="14" spans="5:27" ht="16" x14ac:dyDescent="0.2">
      <c r="E14" s="82" t="s">
        <v>92</v>
      </c>
      <c r="T14" s="180" t="s">
        <v>188</v>
      </c>
    </row>
    <row r="15" spans="5:27" ht="16" x14ac:dyDescent="0.2">
      <c r="E15" s="79"/>
      <c r="T15" s="179" t="s">
        <v>195</v>
      </c>
    </row>
    <row r="16" spans="5:27" ht="16" x14ac:dyDescent="0.2">
      <c r="E16" s="80" t="s">
        <v>93</v>
      </c>
      <c r="T16" s="180" t="s">
        <v>196</v>
      </c>
    </row>
    <row r="17" spans="5:27" ht="16" x14ac:dyDescent="0.2">
      <c r="E17" s="83" t="s">
        <v>94</v>
      </c>
      <c r="T17" s="180" t="s">
        <v>197</v>
      </c>
    </row>
    <row r="18" spans="5:27" ht="16" x14ac:dyDescent="0.2">
      <c r="E18" s="82" t="s">
        <v>95</v>
      </c>
      <c r="T18" s="179" t="s">
        <v>198</v>
      </c>
    </row>
    <row r="19" spans="5:27" ht="16" x14ac:dyDescent="0.2">
      <c r="E19" s="82" t="s">
        <v>96</v>
      </c>
      <c r="T19" s="180" t="s">
        <v>199</v>
      </c>
    </row>
    <row r="20" spans="5:27" ht="16" x14ac:dyDescent="0.2">
      <c r="E20" s="82" t="s">
        <v>97</v>
      </c>
      <c r="N20" s="4" t="s">
        <v>121</v>
      </c>
      <c r="O20" s="4"/>
      <c r="P20" s="4"/>
      <c r="Q20" t="s">
        <v>127</v>
      </c>
      <c r="T20" s="180" t="s">
        <v>200</v>
      </c>
    </row>
    <row r="21" spans="5:27" ht="16" x14ac:dyDescent="0.2">
      <c r="E21" s="83" t="s">
        <v>98</v>
      </c>
      <c r="T21" s="182" t="s">
        <v>201</v>
      </c>
    </row>
    <row r="22" spans="5:27" ht="16" x14ac:dyDescent="0.2">
      <c r="E22" s="82" t="s">
        <v>99</v>
      </c>
      <c r="T22" s="179" t="s">
        <v>202</v>
      </c>
    </row>
    <row r="23" spans="5:27" ht="16" x14ac:dyDescent="0.2">
      <c r="E23" s="82" t="s">
        <v>100</v>
      </c>
      <c r="H23" t="s">
        <v>124</v>
      </c>
      <c r="T23" s="180" t="s">
        <v>203</v>
      </c>
    </row>
    <row r="24" spans="5:27" ht="24" x14ac:dyDescent="0.3">
      <c r="E24" s="183">
        <v>43922</v>
      </c>
      <c r="F24" s="183"/>
      <c r="G24" s="183"/>
      <c r="H24" s="183"/>
      <c r="I24" s="183"/>
      <c r="J24" s="183"/>
      <c r="K24" s="183"/>
      <c r="L24" s="183"/>
      <c r="T24" s="183">
        <v>43922</v>
      </c>
      <c r="U24" s="183"/>
      <c r="V24" s="183"/>
      <c r="W24" s="183"/>
      <c r="X24" s="183"/>
      <c r="Y24" s="183"/>
      <c r="Z24" s="183"/>
      <c r="AA24" s="183"/>
    </row>
    <row r="25" spans="5:27" ht="16" x14ac:dyDescent="0.2">
      <c r="E25" s="81" t="s">
        <v>101</v>
      </c>
      <c r="T25" s="179" t="s">
        <v>204</v>
      </c>
    </row>
    <row r="26" spans="5:27" ht="16" x14ac:dyDescent="0.2">
      <c r="E26" s="81" t="s">
        <v>102</v>
      </c>
      <c r="T26" s="180" t="s">
        <v>205</v>
      </c>
    </row>
    <row r="27" spans="5:27" ht="16" x14ac:dyDescent="0.2">
      <c r="E27" s="81" t="s">
        <v>103</v>
      </c>
      <c r="T27" s="180" t="s">
        <v>188</v>
      </c>
    </row>
    <row r="28" spans="5:27" ht="16" x14ac:dyDescent="0.2">
      <c r="E28" s="81" t="s">
        <v>104</v>
      </c>
      <c r="T28" s="179" t="s">
        <v>206</v>
      </c>
    </row>
    <row r="29" spans="5:27" ht="16" x14ac:dyDescent="0.2">
      <c r="E29" s="81" t="s">
        <v>105</v>
      </c>
      <c r="T29" s="180" t="s">
        <v>207</v>
      </c>
    </row>
    <row r="30" spans="5:27" ht="16" x14ac:dyDescent="0.2">
      <c r="E30" s="81" t="s">
        <v>106</v>
      </c>
      <c r="T30" s="180" t="s">
        <v>208</v>
      </c>
    </row>
    <row r="31" spans="5:27" ht="16" x14ac:dyDescent="0.2">
      <c r="E31" s="81" t="s">
        <v>107</v>
      </c>
      <c r="N31" s="4" t="s">
        <v>122</v>
      </c>
      <c r="O31" s="4"/>
      <c r="T31" s="180" t="s">
        <v>188</v>
      </c>
    </row>
    <row r="32" spans="5:27" ht="16" x14ac:dyDescent="0.2">
      <c r="E32" s="84"/>
      <c r="T32" s="179" t="s">
        <v>209</v>
      </c>
    </row>
    <row r="33" spans="5:27" ht="16" x14ac:dyDescent="0.2">
      <c r="E33" s="185" t="s">
        <v>108</v>
      </c>
      <c r="T33" s="180" t="s">
        <v>210</v>
      </c>
    </row>
    <row r="34" spans="5:27" ht="16" x14ac:dyDescent="0.2">
      <c r="E34" s="81" t="s">
        <v>109</v>
      </c>
      <c r="T34" s="180" t="s">
        <v>211</v>
      </c>
    </row>
    <row r="35" spans="5:27" ht="16" x14ac:dyDescent="0.2">
      <c r="E35" s="81" t="s">
        <v>110</v>
      </c>
      <c r="T35" s="182" t="s">
        <v>212</v>
      </c>
    </row>
    <row r="36" spans="5:27" ht="16" x14ac:dyDescent="0.2">
      <c r="E36" s="79"/>
      <c r="T36" s="180" t="s">
        <v>188</v>
      </c>
    </row>
    <row r="37" spans="5:27" ht="16" x14ac:dyDescent="0.2">
      <c r="E37" s="80" t="s">
        <v>111</v>
      </c>
      <c r="T37" s="179" t="s">
        <v>213</v>
      </c>
    </row>
    <row r="38" spans="5:27" ht="16" x14ac:dyDescent="0.2">
      <c r="E38" s="81" t="s">
        <v>112</v>
      </c>
      <c r="T38" s="182" t="s">
        <v>214</v>
      </c>
    </row>
    <row r="39" spans="5:27" ht="16" x14ac:dyDescent="0.2">
      <c r="E39" s="81" t="s">
        <v>113</v>
      </c>
      <c r="T39" s="180" t="s">
        <v>188</v>
      </c>
    </row>
    <row r="40" spans="5:27" ht="16" x14ac:dyDescent="0.2">
      <c r="E40" s="81" t="s">
        <v>114</v>
      </c>
      <c r="T40" s="179" t="s">
        <v>193</v>
      </c>
    </row>
    <row r="41" spans="5:27" ht="16" x14ac:dyDescent="0.2">
      <c r="E41" s="80"/>
      <c r="T41" s="180" t="s">
        <v>215</v>
      </c>
    </row>
    <row r="42" spans="5:27" ht="16" x14ac:dyDescent="0.2">
      <c r="E42" s="80" t="s">
        <v>115</v>
      </c>
      <c r="T42" s="181" t="s">
        <v>216</v>
      </c>
    </row>
    <row r="43" spans="5:27" ht="16" x14ac:dyDescent="0.2">
      <c r="E43" s="81" t="s">
        <v>116</v>
      </c>
      <c r="T43" s="180" t="s">
        <v>188</v>
      </c>
    </row>
    <row r="44" spans="5:27" ht="24" x14ac:dyDescent="0.3">
      <c r="E44" s="81" t="s">
        <v>117</v>
      </c>
      <c r="T44" s="183">
        <v>44013</v>
      </c>
      <c r="U44" s="183"/>
      <c r="V44" s="183"/>
      <c r="W44" s="183"/>
      <c r="X44" s="183"/>
      <c r="Y44" s="183"/>
      <c r="Z44" s="183"/>
      <c r="AA44" s="183"/>
    </row>
    <row r="45" spans="5:27" ht="16" x14ac:dyDescent="0.2">
      <c r="E45" s="81" t="s">
        <v>118</v>
      </c>
      <c r="T45" s="179" t="s">
        <v>217</v>
      </c>
    </row>
    <row r="46" spans="5:27" ht="16" x14ac:dyDescent="0.2">
      <c r="T46" s="180" t="s">
        <v>218</v>
      </c>
    </row>
    <row r="47" spans="5:27" ht="16" x14ac:dyDescent="0.2">
      <c r="T47" s="180" t="s">
        <v>188</v>
      </c>
    </row>
    <row r="48" spans="5:27" ht="16" x14ac:dyDescent="0.2">
      <c r="T48" s="180" t="s">
        <v>188</v>
      </c>
    </row>
    <row r="49" spans="20:20" ht="16" x14ac:dyDescent="0.2">
      <c r="T49" s="179" t="s">
        <v>193</v>
      </c>
    </row>
    <row r="50" spans="20:20" ht="16" x14ac:dyDescent="0.2">
      <c r="T50" s="181" t="s">
        <v>219</v>
      </c>
    </row>
    <row r="51" spans="20:20" ht="16" x14ac:dyDescent="0.2">
      <c r="T51" s="180" t="s">
        <v>188</v>
      </c>
    </row>
    <row r="52" spans="20:20" ht="16" x14ac:dyDescent="0.2">
      <c r="T52" s="181" t="s">
        <v>220</v>
      </c>
    </row>
    <row r="53" spans="20:20" ht="16" x14ac:dyDescent="0.2">
      <c r="T53" s="181" t="s">
        <v>221</v>
      </c>
    </row>
    <row r="54" spans="20:20" ht="16" x14ac:dyDescent="0.2">
      <c r="T54" s="181" t="s">
        <v>222</v>
      </c>
    </row>
    <row r="55" spans="20:20" ht="16" x14ac:dyDescent="0.2">
      <c r="T55" s="181" t="s">
        <v>223</v>
      </c>
    </row>
    <row r="56" spans="20:20" ht="16" x14ac:dyDescent="0.2">
      <c r="T56" s="180" t="s">
        <v>188</v>
      </c>
    </row>
  </sheetData>
  <mergeCells count="7">
    <mergeCell ref="T24:AA24"/>
    <mergeCell ref="T2:AA2"/>
    <mergeCell ref="T44:AA44"/>
    <mergeCell ref="T1:AA1"/>
    <mergeCell ref="E1:H1"/>
    <mergeCell ref="E2:L2"/>
    <mergeCell ref="E24:L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Deployment Planning</vt:lpstr>
      <vt:lpstr>DATES For PLANNING</vt:lpstr>
      <vt:lpstr>Remaining Interfaces</vt:lpstr>
      <vt:lpstr>Assumptions</vt:lpstr>
      <vt:lpstr>AHM Roadmap</vt:lpstr>
    </vt:vector>
  </TitlesOfParts>
  <Company>CVS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Meers, Sherry L</dc:creator>
  <cp:lastModifiedBy>Microsoft Office User</cp:lastModifiedBy>
  <dcterms:created xsi:type="dcterms:W3CDTF">2020-07-24T13:57:12Z</dcterms:created>
  <dcterms:modified xsi:type="dcterms:W3CDTF">2020-10-14T17:05:33Z</dcterms:modified>
</cp:coreProperties>
</file>